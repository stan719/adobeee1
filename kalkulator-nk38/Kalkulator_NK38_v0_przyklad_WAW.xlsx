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ne" sheetId="1" state="visible" r:id="rId3"/>
    <sheet name="Podsumowanie" sheetId="2" state="visible" r:id="rId4"/>
    <sheet name="Cennik" sheetId="3" state="visible" r:id="rId5"/>
    <sheet name="Obliczenia" sheetId="4" state="visible" r:id="rId6"/>
  </sheets>
  <definedNames>
    <definedName function="false" hidden="false" name="c_admin" vbProcedure="false">Cennik!$C$31</definedName>
    <definedName function="false" hidden="false" name="c_agregat" vbProcedure="false">Cennik!$C$18</definedName>
    <definedName function="false" hidden="false" name="c_barierka" vbProcedure="false">Cennik!$C$28</definedName>
    <definedName function="false" hidden="false" name="c_cena_D" vbProcedure="false">Cennik!$C$6</definedName>
    <definedName function="false" hidden="false" name="c_dieta" vbProcedure="false">Cennik!$C$52</definedName>
    <definedName function="false" hidden="false" name="c_dl_500" vbProcedure="false">Cennik!$C$14</definedName>
    <definedName function="false" hidden="false" name="c_dl_wsp" vbProcedure="false">Cennik!$C$15</definedName>
    <definedName function="false" hidden="false" name="c_dni_tydzien" vbProcedure="false">Cennik!$C$50</definedName>
    <definedName function="false" hidden="false" name="c_doplata_NK37" vbProcedure="false">Cennik!$C$7</definedName>
    <definedName function="false" hidden="false" name="c_dzwig" vbProcedure="false">Cennik!$C$46</definedName>
    <definedName function="false" hidden="false" name="c_dzwig_alt" vbProcedure="false">Cennik!$C$47</definedName>
    <definedName function="false" hidden="false" name="c_dzwig_D" vbProcedure="false">Cennik!$C$48</definedName>
    <definedName function="false" hidden="false" name="c_dzwig_wspS" vbProcedure="false">Cennik!$C$49</definedName>
    <definedName function="false" hidden="false" name="c_gdw" vbProcedure="false">Cennik!$C$60</definedName>
    <definedName function="false" hidden="false" name="c_hotel" vbProcedure="false">Cennik!$C$53</definedName>
    <definedName function="false" hidden="false" name="c_hydr_drobne" vbProcedure="false">Cennik!$C$20</definedName>
    <definedName function="false" hidden="false" name="C_kmpom" vbProcedure="false">Obliczenia!$C$27</definedName>
    <definedName function="false" hidden="false" name="c_kob" vbProcedure="false">Cennik!$C$59</definedName>
    <definedName function="false" hidden="false" name="c_konserw" vbProcedure="false">Cennik!$C$63</definedName>
    <definedName function="false" hidden="false" name="c_konserw2" vbProcedure="false">Cennik!$C$64</definedName>
    <definedName function="false" hidden="false" name="c_konserw3" vbProcedure="false">Cennik!$C$65</definedName>
    <definedName function="false" hidden="false" name="c_magistrala" vbProcedure="false">Cennik!$C$26</definedName>
    <definedName function="false" hidden="false" name="c_mal_bar" vbProcedure="false">Cennik!$C$35</definedName>
    <definedName function="false" hidden="false" name="c_mal_D" vbProcedure="false">Cennik!$C$34</definedName>
    <definedName function="false" hidden="false" name="c_mal_S" vbProcedure="false">Cennik!$C$33</definedName>
    <definedName function="false" hidden="false" name="c_maskownica" vbProcedure="false">Cennik!$C$29</definedName>
    <definedName function="false" hidden="false" name="c_odbiory_osoby" vbProcedure="false">Cennik!$C$57</definedName>
    <definedName function="false" hidden="false" name="c_olej" vbProcedure="false">Cennik!$C$19</definedName>
    <definedName function="false" hidden="false" name="c_osd_barierka" vbProcedure="false">Cennik!$C$44</definedName>
    <definedName function="false" hidden="false" name="c_osd_D" vbProcedure="false">Cennik!$C$41</definedName>
    <definedName function="false" hidden="false" name="c_osd_magistrala" vbProcedure="false">Cennik!$C$43</definedName>
    <definedName function="false" hidden="false" name="c_osd_NP" vbProcedure="false">Cennik!$C$42</definedName>
    <definedName function="false" hidden="false" name="c_osd_S" vbProcedure="false">Cennik!$C$40</definedName>
    <definedName function="false" hidden="false" name="c_paliwo" vbProcedure="false">Cennik!$C$55</definedName>
    <definedName function="false" hidden="false" name="c_podatek" vbProcedure="false">Cennik!$C$61</definedName>
    <definedName function="false" hidden="false" name="c_pomiary_osoby" vbProcedure="false">Cennik!$C$56</definedName>
    <definedName function="false" hidden="false" name="c_q2500" vbProcedure="false">Cennik!$C$16</definedName>
    <definedName function="false" hidden="false" name="c_rozl_TIR" vbProcedure="false">Cennik!$C$45</definedName>
    <definedName function="false" hidden="false" name="c_sil_1700" vbProcedure="false">Cennik!$C$23</definedName>
    <definedName function="false" hidden="false" name="c_sil_2000" vbProcedure="false">Cennik!$C$24</definedName>
    <definedName function="false" hidden="false" name="c_sil_2250" vbProcedure="false">Cennik!$C$25</definedName>
    <definedName function="false" hidden="false" name="c_skrzynka_zasil" vbProcedure="false">Cennik!$C$30</definedName>
    <definedName function="false" hidden="false" name="c_slupek" vbProcedure="false">Cennik!$C$36</definedName>
    <definedName function="false" hidden="false" name="c_slupek22" vbProcedure="false">Cennik!$C$37</definedName>
    <definedName function="false" hidden="false" name="c_slupek_rbd" vbProcedure="false">Cennik!$C$38</definedName>
    <definedName function="false" hidden="false" name="c_spalanie" vbProcedure="false">Cennik!$C$54</definedName>
    <definedName function="false" hidden="false" name="c_szer_260" vbProcedure="false">Cennik!$C$10</definedName>
    <definedName function="false" hidden="false" name="c_szer_270" vbProcedure="false">Cennik!$C$11</definedName>
    <definedName function="false" hidden="false" name="c_szer_520" vbProcedure="false">Cennik!$C$12</definedName>
    <definedName function="false" hidden="false" name="c_szer_540" vbProcedure="false">Cennik!$C$13</definedName>
    <definedName function="false" hidden="false" name="c_transp_agregatu" vbProcedure="false">Cennik!$C$21</definedName>
    <definedName function="false" hidden="false" name="c_transp_silownikow" vbProcedure="false">Cennik!$C$22</definedName>
    <definedName function="false" hidden="false" name="c_wsp_NP" vbProcedure="false">Cennik!$C$9</definedName>
    <definedName function="false" hidden="false" name="c_wsp_S" vbProcedure="false">Cennik!$C$8</definedName>
    <definedName function="false" hidden="false" name="e_krk" vbProcedure="false">Obliczenia!$C$31</definedName>
    <definedName function="false" hidden="false" name="e_osoby" vbProcedure="false">Obliczenia!$C$28</definedName>
    <definedName function="false" hidden="false" name="e_podr_pom" vbProcedure="false">Obliczenia!$C$32</definedName>
    <definedName function="false" hidden="false" name="e_rozl_dni" vbProcedure="false">Obliczenia!$C$30</definedName>
    <definedName function="false" hidden="false" name="e_stawka" vbProcedure="false">Obliczenia!$C$29</definedName>
    <definedName function="false" hidden="false" name="in_agregaty" vbProcedure="false">Dane!$C$21</definedName>
    <definedName function="false" hidden="false" name="in_barierki" vbProcedure="false">Dane!$C$23</definedName>
    <definedName function="false" hidden="false" name="in_D" vbProcedure="false">Dane!$C$19</definedName>
    <definedName function="false" hidden="false" name="in_data" vbProcedure="false">Dane!$C$7</definedName>
    <definedName function="false" hidden="false" name="in_dl500_D" vbProcedure="false">Dane!$D$40</definedName>
    <definedName function="false" hidden="false" name="in_dl500_S" vbProcedure="false">Dane!$C$40</definedName>
    <definedName function="false" hidden="false" name="in_dl540_D" vbProcedure="false">Dane!$D$41</definedName>
    <definedName function="false" hidden="false" name="in_dl540_S" vbProcedure="false">Dane!$C$41</definedName>
    <definedName function="false" hidden="false" name="in_dl550_D" vbProcedure="false">Dane!$D$42</definedName>
    <definedName function="false" hidden="false" name="in_dl550_S" vbProcedure="false">Dane!$C$42</definedName>
    <definedName function="false" hidden="false" name="in_eur" vbProcedure="false">Dane!$C$63</definedName>
    <definedName function="false" hidden="false" name="in_gl_D" vbProcedure="false">Dane!$D$28:$D$36</definedName>
    <definedName function="false" hidden="false" name="in_gl_S" vbProcedure="false">Dane!$C$28:$C$36</definedName>
    <definedName function="false" hidden="false" name="in_km" vbProcedure="false">Dane!$C$13</definedName>
    <definedName function="false" hidden="false" name="in_km_pom" vbProcedure="false">Dane!$C$14</definedName>
    <definedName function="false" hidden="false" name="in_lok" vbProcedure="false">Dane!$C$12</definedName>
    <definedName function="false" hidden="false" name="in_magistrala" vbProcedure="false">Dane!$C$22</definedName>
    <definedName function="false" hidden="false" name="in_maskownice" vbProcedure="false">Dane!$C$24</definedName>
    <definedName function="false" hidden="false" name="in_nazwa" vbProcedure="false">Dane!$C$6</definedName>
    <definedName function="false" hidden="false" name="in_NP" vbProcedure="false">Dane!$C$20</definedName>
    <definedName function="false" hidden="false" name="in_nr" vbProcedure="false">Dane!$C$8</definedName>
    <definedName function="false" hidden="false" name="in_opis" vbProcedure="false">Dane!$C$9</definedName>
    <definedName function="false" hidden="false" name="in_q2500" vbProcedure="false">Dane!$C$62</definedName>
    <definedName function="false" hidden="false" name="in_rozl_cena" vbProcedure="false">Dane!$C$47</definedName>
    <definedName function="false" hidden="false" name="in_rozl_dni" vbProcedure="false">Dane!$C$48</definedName>
    <definedName function="false" hidden="false" name="in_S" vbProcedure="false">Dane!$C$18</definedName>
    <definedName function="false" hidden="false" name="in_stawki" vbProcedure="false">Dane!$C$51:$C$57</definedName>
    <definedName function="false" hidden="false" name="in_szer1_D" vbProcedure="false">Dane!$D$38</definedName>
    <definedName function="false" hidden="false" name="in_szer1_S" vbProcedure="false">Dane!$C$38</definedName>
    <definedName function="false" hidden="false" name="in_szer2_D" vbProcedure="false">Dane!$D$39</definedName>
    <definedName function="false" hidden="false" name="in_szer2_S" vbProcedure="false">Dane!$C$39</definedName>
    <definedName function="false" hidden="false" name="in_tir" vbProcedure="false">Dane!$C$45</definedName>
    <definedName function="false" hidden="false" name="in_tir_cena" vbProcedure="false">Dane!$C$46</definedName>
    <definedName function="false" hidden="false" name="in_typ" vbProcedure="false">Dane!$C$17</definedName>
    <definedName function="false" hidden="false" name="in_wyjazdy" vbProcedure="false">Dane!$C$49</definedName>
    <definedName function="false" hidden="false" name="in_zysk" vbProcedure="false">Dane!$C$60</definedName>
    <definedName function="false" hidden="false" name="in_zysk_min" vbProcedure="false">Dane!$C$61</definedName>
    <definedName function="false" hidden="false" name="m_barierki" vbProcedure="false">Obliczenia!$C$18</definedName>
    <definedName function="false" hidden="false" name="m_cena_D" vbProcedure="false">Obliczenia!$C$5</definedName>
    <definedName function="false" hidden="false" name="m_cena_NP" vbProcedure="false">Obliczenia!$C$7</definedName>
    <definedName function="false" hidden="false" name="m_cena_S" vbProcedure="false">Obliczenia!$C$6</definedName>
    <definedName function="false" hidden="false" name="m_elektryka" vbProcedure="false">Obliczenia!$C$19</definedName>
    <definedName function="false" hidden="false" name="m_hydraulika" vbProcedure="false">Obliczenia!$C$17</definedName>
    <definedName function="false" hidden="false" name="m_malowanie" vbProcedure="false">Obliczenia!$C$23</definedName>
    <definedName function="false" hidden="false" name="m_mechanika" vbProcedure="false">Obliczenia!$C$20</definedName>
    <definedName function="false" hidden="false" name="m_MP" vbProcedure="false">Obliczenia!$C$10</definedName>
    <definedName function="false" hidden="false" name="m_platformy" vbProcedure="false">Obliczenia!$C$9</definedName>
    <definedName function="false" hidden="false" name="m_plat_D" vbProcedure="false">Obliczenia!$C$12</definedName>
    <definedName function="false" hidden="false" name="m_plat_NP" vbProcedure="false">Obliczenia!$C$13</definedName>
    <definedName function="false" hidden="false" name="m_plat_S" vbProcedure="false">Obliczenia!$C$11</definedName>
    <definedName function="false" hidden="false" name="m_sil_2000" vbProcedure="false">Obliczenia!$C$14</definedName>
    <definedName function="false" hidden="false" name="m_sil_2250" vbProcedure="false">Obliczenia!$C$15</definedName>
    <definedName function="false" hidden="false" name="m_sil_std" vbProcedure="false">Obliczenia!$C$16</definedName>
    <definedName function="false" hidden="false" name="m_slupki22" vbProcedure="false">Obliczenia!$C$24</definedName>
    <definedName function="false" hidden="false" name="m_SN" vbProcedure="false">Obliczenia!$C$8</definedName>
    <definedName function="false" hidden="false" name="m_suma_2000" vbProcedure="false">Obliczenia!$C$21</definedName>
    <definedName function="false" hidden="false" name="m_suma_2500" vbProcedure="false">Obliczenia!$C$22</definedName>
    <definedName function="false" hidden="false" name="m_tonaz" vbProcedure="false">Obliczenia!$C$25</definedName>
    <definedName function="false" hidden="false" name="t_gl_doplata" vbProcedure="false">Cennik!$C$69:$C$77</definedName>
    <definedName function="false" hidden="false" name="t_gl_silownik" vbProcedure="false">Cennik!$D$69:$D$77</definedName>
    <definedName function="false" hidden="false" name="t_sk_cena" vbProcedure="false">Cennik!$C$81:$C$107</definedName>
    <definedName function="false" hidden="false" name="t_sk_D" vbProcedure="false">Cennik!$E$81:$E$107</definedName>
    <definedName function="false" hidden="false" name="t_sk_grupa" vbProcedure="false">Cennik!$F$81:$F$107</definedName>
    <definedName function="false" hidden="false" name="t_sk_S" vbProcedure="false">Cennik!$D$81:$D$107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<sst xmlns="http://schemas.openxmlformats.org/spreadsheetml/2006/main" count="355" uniqueCount="313">
  <si>
    <t xml:space="preserve">KALKULATOR NK38 - DANE WEJŚCIOWE</t>
  </si>
  <si>
    <t xml:space="preserve">Wypełniasz tylko żółte pola. Puste pole = 0. Wynik: arkusz Podsumowanie.</t>
  </si>
  <si>
    <t xml:space="preserve">1. Inwestycja</t>
  </si>
  <si>
    <t xml:space="preserve">Nazwa / adres inwestycji</t>
  </si>
  <si>
    <t xml:space="preserve">ul. Kasprowicza 18 Warszawa</t>
  </si>
  <si>
    <t xml:space="preserve">Data oferty</t>
  </si>
  <si>
    <t xml:space="preserve">Nr oferty / handlowiec</t>
  </si>
  <si>
    <t xml:space="preserve">20261014-SNK</t>
  </si>
  <si>
    <t xml:space="preserve">Opis / wariant (H, L, P, Hpoj ...)</t>
  </si>
  <si>
    <t xml:space="preserve">2. Lokalizacja</t>
  </si>
  <si>
    <t xml:space="preserve">Lokalizacja</t>
  </si>
  <si>
    <t xml:space="preserve">Poza Krakowem</t>
  </si>
  <si>
    <t xml:space="preserve">Kraków: montaż liczony w dniach, bez hotelu i diet</t>
  </si>
  <si>
    <t xml:space="preserve">Odległość montażu od Krakowa [km, w jedną stronę]</t>
  </si>
  <si>
    <t xml:space="preserve">Odległość pomiary / odbiory [km] (puste = jak wyżej)</t>
  </si>
  <si>
    <t xml:space="preserve">W pliku WAW: pomiary 280 km, montaż 330 km</t>
  </si>
  <si>
    <t xml:space="preserve">3. Urządzenia</t>
  </si>
  <si>
    <t xml:space="preserve">Typ urządzenia</t>
  </si>
  <si>
    <t xml:space="preserve">NK38</t>
  </si>
  <si>
    <t xml:space="preserve">Platformy pojedyncze S (2 MP)</t>
  </si>
  <si>
    <t xml:space="preserve">Platformy podwójne D (4 MP)</t>
  </si>
  <si>
    <t xml:space="preserve">Systemy dla N.P. (2 MP)</t>
  </si>
  <si>
    <t xml:space="preserve">Agregaty</t>
  </si>
  <si>
    <t xml:space="preserve">1 agregat do 6 platform</t>
  </si>
  <si>
    <t xml:space="preserve">Magistrala EXTRA [odcinki 6 m]</t>
  </si>
  <si>
    <t xml:space="preserve">Barierki [szt. na stronę]</t>
  </si>
  <si>
    <t xml:space="preserve">Maskownice / bariery tylne</t>
  </si>
  <si>
    <t xml:space="preserve">4. Wymiary niestandardowe (ile platform danego typu)</t>
  </si>
  <si>
    <t xml:space="preserve">S</t>
  </si>
  <si>
    <t xml:space="preserve">D</t>
  </si>
  <si>
    <t xml:space="preserve">Pozostałe platformy = wymiar standardowy</t>
  </si>
  <si>
    <t xml:space="preserve">Zagłębienie 175 cm</t>
  </si>
  <si>
    <t xml:space="preserve">Zagłębienie 180 cm</t>
  </si>
  <si>
    <t xml:space="preserve">Zagłębienie 185 cm</t>
  </si>
  <si>
    <t xml:space="preserve">Zagłębienie 190 cm</t>
  </si>
  <si>
    <t xml:space="preserve">Zagłębienie 195 cm</t>
  </si>
  <si>
    <t xml:space="preserve">Zagłębienie 200 cm</t>
  </si>
  <si>
    <t xml:space="preserve">Zagłębienie 210 cm</t>
  </si>
  <si>
    <t xml:space="preserve">Zagłębienie 220 cm</t>
  </si>
  <si>
    <t xml:space="preserve">Zagłębienie 225 cm</t>
  </si>
  <si>
    <t xml:space="preserve">Zagłębienie 170 cm (standard) - wyliczone</t>
  </si>
  <si>
    <t xml:space="preserve">Szerokość 260 (S) / 520 (D)</t>
  </si>
  <si>
    <t xml:space="preserve">Szerokość 270 (S) / 540 (D)</t>
  </si>
  <si>
    <t xml:space="preserve">Długość zagłębienia 500-510 cm</t>
  </si>
  <si>
    <t xml:space="preserve">Długość zagłębienia 540 cm</t>
  </si>
  <si>
    <t xml:space="preserve">Długość zagłębienia 550 cm</t>
  </si>
  <si>
    <t xml:space="preserve">5. Transport i ekipa</t>
  </si>
  <si>
    <t xml:space="preserve">Liczba transportów (TIR)</t>
  </si>
  <si>
    <t xml:space="preserve">Cena transportu / TIR</t>
  </si>
  <si>
    <t xml:space="preserve">Podpowiedź w Cenniku: KRK 1600, WAW/WRO 3300, POZ/ZG 4500</t>
  </si>
  <si>
    <t xml:space="preserve">Rozładunek - sprzęt / TIR</t>
  </si>
  <si>
    <t xml:space="preserve">WAW 1700, KRK 500</t>
  </si>
  <si>
    <t xml:space="preserve">Dni rozładunku (puste = 0,5 / TIR)</t>
  </si>
  <si>
    <t xml:space="preserve">Tygodnie (lub dni w Krakowie) montażu - ręcznie</t>
  </si>
  <si>
    <t xml:space="preserve">Puste = wyliczane automatycznie (dawne B55)</t>
  </si>
  <si>
    <t xml:space="preserve">Stawki dzienne monterów (puste = brak osoby)</t>
  </si>
  <si>
    <t xml:space="preserve">Monter 1</t>
  </si>
  <si>
    <t xml:space="preserve">Ceny dla Ukraińców</t>
  </si>
  <si>
    <t xml:space="preserve">Monter 2</t>
  </si>
  <si>
    <t xml:space="preserve">Monter 3</t>
  </si>
  <si>
    <t xml:space="preserve">Monter 4</t>
  </si>
  <si>
    <t xml:space="preserve">Monter 5</t>
  </si>
  <si>
    <t xml:space="preserve">Monter 6</t>
  </si>
  <si>
    <t xml:space="preserve">Monter 7</t>
  </si>
  <si>
    <t xml:space="preserve">6. Narzuty i kurs</t>
  </si>
  <si>
    <t xml:space="preserve">Zysk (udział w cenie)</t>
  </si>
  <si>
    <t xml:space="preserve">Zysk - wariant minimalny (dawny 'rabat nadzw.')</t>
  </si>
  <si>
    <t xml:space="preserve">Dopłata za Q=2500 kg</t>
  </si>
  <si>
    <t xml:space="preserve">WAW 6%, KRK 7%</t>
  </si>
  <si>
    <t xml:space="preserve">Kurs EUR/PLN</t>
  </si>
  <si>
    <t xml:space="preserve">Kontrola danych</t>
  </si>
  <si>
    <t xml:space="preserve">PODSUMOWANIE OFERTY NK38</t>
  </si>
  <si>
    <t xml:space="preserve">Wariant</t>
  </si>
  <si>
    <t xml:space="preserve">2000 kg</t>
  </si>
  <si>
    <t xml:space="preserve">2500 kg</t>
  </si>
  <si>
    <t xml:space="preserve">2000 kg + słupki</t>
  </si>
  <si>
    <t xml:space="preserve">2500 kg + słupki</t>
  </si>
  <si>
    <t xml:space="preserve">CENA KONTRAKTU NETTO</t>
  </si>
  <si>
    <t xml:space="preserve">Cena za miejsce postojowe</t>
  </si>
  <si>
    <t xml:space="preserve">Cena za MP [EUR]</t>
  </si>
  <si>
    <t xml:space="preserve">Cena minimalna (zysk min., dźwig 2000)</t>
  </si>
  <si>
    <t xml:space="preserve">Zysk</t>
  </si>
  <si>
    <t xml:space="preserve">Koszt rzeczywisty</t>
  </si>
  <si>
    <t xml:space="preserve">Urządzenia (materiały)</t>
  </si>
  <si>
    <t xml:space="preserve">Słupki e-ładowarek</t>
  </si>
  <si>
    <t xml:space="preserve">Transport, dźwig, rozładunek</t>
  </si>
  <si>
    <t xml:space="preserve">Robocizna (montaż, rozładunek, dojazdy)</t>
  </si>
  <si>
    <t xml:space="preserve">Hotel, diety, paliwo</t>
  </si>
  <si>
    <t xml:space="preserve">KOB + GDW + podatek</t>
  </si>
  <si>
    <t xml:space="preserve">Dni pracy ekipy</t>
  </si>
  <si>
    <t xml:space="preserve">Tygodnie / dni montażu (wyjazdy)</t>
  </si>
  <si>
    <t xml:space="preserve">Osobodni razem</t>
  </si>
  <si>
    <t xml:space="preserve">Informacyjnie (poza ceną)</t>
  </si>
  <si>
    <t xml:space="preserve">Malowanie proszkowe RAL</t>
  </si>
  <si>
    <t xml:space="preserve">Słupki 22 kW zamiast 3,7 kW (cena słupków)</t>
  </si>
  <si>
    <t xml:space="preserve">Konserwacja roczna (40 / 45 / 50 zł/MP/mies.)</t>
  </si>
  <si>
    <t xml:space="preserve">Przegląd półroczny (40 / 45 / 50 zł/MP/mies. x 6)</t>
  </si>
  <si>
    <t xml:space="preserve">Kontrola danych:</t>
  </si>
  <si>
    <t xml:space="preserve">CENNIK I STAŁE KALKULACYJNE NK38</t>
  </si>
  <si>
    <t xml:space="preserve">Zmiana ceny tutaj działa we wszystkich formułach. Kolumna E = skąd wartość pochodzi w starym arkuszu.</t>
  </si>
  <si>
    <t xml:space="preserve">Platformy</t>
  </si>
  <si>
    <t xml:space="preserve">Platforma podwójna NK38-500-170-530 (4 MP)</t>
  </si>
  <si>
    <t xml:space="preserve">NK38!E32</t>
  </si>
  <si>
    <t xml:space="preserve">Dopłata za NK37 / system</t>
  </si>
  <si>
    <t xml:space="preserve">NK38!F1</t>
  </si>
  <si>
    <t xml:space="preserve">Cena S jako ułamek ceny D</t>
  </si>
  <si>
    <t xml:space="preserve">NK38!F3</t>
  </si>
  <si>
    <t xml:space="preserve">Cena systemu N.P. jako ułamek ceny D</t>
  </si>
  <si>
    <t xml:space="preserve">NK38!E27</t>
  </si>
  <si>
    <t xml:space="preserve">Szerokość S 260 cm</t>
  </si>
  <si>
    <t xml:space="preserve">NK38!E8</t>
  </si>
  <si>
    <t xml:space="preserve">Szerokość S 270 cm</t>
  </si>
  <si>
    <t xml:space="preserve">NK38!E9</t>
  </si>
  <si>
    <t xml:space="preserve">Szerokość D 520 cm</t>
  </si>
  <si>
    <t xml:space="preserve">NK38!E34</t>
  </si>
  <si>
    <t xml:space="preserve">Szerokość D 540 cm</t>
  </si>
  <si>
    <t xml:space="preserve">NK38!E35</t>
  </si>
  <si>
    <t xml:space="preserve">NK38!E21/E47</t>
  </si>
  <si>
    <t xml:space="preserve">Dopłata za 1 cm długości (ułamek ceny platformy)</t>
  </si>
  <si>
    <t xml:space="preserve">NK38!E22 (4 kg/cm z 3150 kg)</t>
  </si>
  <si>
    <t xml:space="preserve">Dopłata Q=2500 kg (domyślnie, nadpisz w Dane)</t>
  </si>
  <si>
    <t xml:space="preserve">NK38!D90</t>
  </si>
  <si>
    <t xml:space="preserve">Hydraulika</t>
  </si>
  <si>
    <t xml:space="preserve">Agregat 11,5 l/min (do 6 platform)</t>
  </si>
  <si>
    <t xml:space="preserve">NK38!E56</t>
  </si>
  <si>
    <t xml:space="preserve">Olej 150 l / agregat</t>
  </si>
  <si>
    <t xml:space="preserve">NK38!D134</t>
  </si>
  <si>
    <t xml:space="preserve">Elementy drobne / agregat</t>
  </si>
  <si>
    <t xml:space="preserve">NK38!D135</t>
  </si>
  <si>
    <t xml:space="preserve">Transport agregatu</t>
  </si>
  <si>
    <t xml:space="preserve">NK38!F57</t>
  </si>
  <si>
    <t xml:space="preserve">Transport siłowników / platformę</t>
  </si>
  <si>
    <t xml:space="preserve">Siłownik standard (zagł. 170)</t>
  </si>
  <si>
    <t xml:space="preserve">NK38!D130</t>
  </si>
  <si>
    <t xml:space="preserve">Siłownik do zagł. 2000</t>
  </si>
  <si>
    <t xml:space="preserve">NK38!D129</t>
  </si>
  <si>
    <t xml:space="preserve">Siłownik do zagł. 2250</t>
  </si>
  <si>
    <t xml:space="preserve">NK38!D128</t>
  </si>
  <si>
    <t xml:space="preserve">Magistrala EXTRA / 6 m</t>
  </si>
  <si>
    <t xml:space="preserve">NK38!D133</t>
  </si>
  <si>
    <t xml:space="preserve">Barierki, elektryka, administracja</t>
  </si>
  <si>
    <t xml:space="preserve">Barierka na stronę (Metazet 538 zł)</t>
  </si>
  <si>
    <t xml:space="preserve">NK38!E66</t>
  </si>
  <si>
    <t xml:space="preserve">Maskownica / bariera tylna (Metazet 608 zł)</t>
  </si>
  <si>
    <t xml:space="preserve">NK38!E67</t>
  </si>
  <si>
    <t xml:space="preserve">Elektryka - skrzynka zasilająca / agregat</t>
  </si>
  <si>
    <t xml:space="preserve">NK38!D121</t>
  </si>
  <si>
    <t xml:space="preserve">Administracja, koszty biura / agregat</t>
  </si>
  <si>
    <t xml:space="preserve">NK38!D125</t>
  </si>
  <si>
    <t xml:space="preserve">Opcje (poza ceną standard)</t>
  </si>
  <si>
    <t xml:space="preserve">Malowanie proszkowe RAL - system S</t>
  </si>
  <si>
    <t xml:space="preserve">NK38!E92</t>
  </si>
  <si>
    <t xml:space="preserve">Malowanie proszkowe RAL - system D / NP</t>
  </si>
  <si>
    <t xml:space="preserve">NK38!E93</t>
  </si>
  <si>
    <t xml:space="preserve">Malowanie barierki na stronę</t>
  </si>
  <si>
    <t xml:space="preserve">NK38!E94</t>
  </si>
  <si>
    <t xml:space="preserve">Słupek e-ładowarki do 3,7 kW / MP</t>
  </si>
  <si>
    <t xml:space="preserve">NK38!E97, KAL!O55</t>
  </si>
  <si>
    <t xml:space="preserve">Słupek e-ładowarki do 22 kW / MP</t>
  </si>
  <si>
    <t xml:space="preserve">NK38!E98</t>
  </si>
  <si>
    <t xml:space="preserve">Robocizna słupka (roboczodni / MP)</t>
  </si>
  <si>
    <t xml:space="preserve">KAL!B49</t>
  </si>
  <si>
    <t xml:space="preserve">Montaż - pracochłonność</t>
  </si>
  <si>
    <t xml:space="preserve">Osobodni montażu / system S</t>
  </si>
  <si>
    <t xml:space="preserve">KAL!F16</t>
  </si>
  <si>
    <t xml:space="preserve">Osobodni montażu / system D</t>
  </si>
  <si>
    <t xml:space="preserve">Osobodni montażu / system NP</t>
  </si>
  <si>
    <t xml:space="preserve">KAL!F17</t>
  </si>
  <si>
    <t xml:space="preserve">Osobodni / magistrala 6 m ("tonaż")</t>
  </si>
  <si>
    <t xml:space="preserve">KAL!B48</t>
  </si>
  <si>
    <t xml:space="preserve">Osobodni / barierka lub maskownica ("tonaż")</t>
  </si>
  <si>
    <t xml:space="preserve">Dni rozładunku / TIR</t>
  </si>
  <si>
    <t xml:space="preserve">KAL!E55 (komentarz)</t>
  </si>
  <si>
    <t xml:space="preserve">Spider Crane / dzień</t>
  </si>
  <si>
    <t xml:space="preserve">KAL!I25</t>
  </si>
  <si>
    <t xml:space="preserve">Spider Crane / dzień - wariant minimalny</t>
  </si>
  <si>
    <t xml:space="preserve">KAL!M25</t>
  </si>
  <si>
    <t xml:space="preserve">Systemów D na 1 dzień dźwigu</t>
  </si>
  <si>
    <t xml:space="preserve">KAL!J25</t>
  </si>
  <si>
    <t xml:space="preserve">Współczynnik S względem D (dźwig)</t>
  </si>
  <si>
    <t xml:space="preserve">Dni montażu w tygodniu (wyjazd = tydzień)</t>
  </si>
  <si>
    <t xml:space="preserve">B55 = J39/5</t>
  </si>
  <si>
    <t xml:space="preserve">Montaż - koszty ekipy</t>
  </si>
  <si>
    <t xml:space="preserve">Dieta dzienna (za granicą 49 €)</t>
  </si>
  <si>
    <t xml:space="preserve">KAL!J57</t>
  </si>
  <si>
    <t xml:space="preserve">Hotel / doba / osoba</t>
  </si>
  <si>
    <t xml:space="preserve">KAL!J58</t>
  </si>
  <si>
    <t xml:space="preserve">Spalanie auta ekipy l/100 km</t>
  </si>
  <si>
    <t xml:space="preserve">KAL!I19</t>
  </si>
  <si>
    <t xml:space="preserve">Cena paliwa zł/l</t>
  </si>
  <si>
    <t xml:space="preserve">Pomiary - liczba osób (1 wyjazd)</t>
  </si>
  <si>
    <t xml:space="preserve">KAL!F53</t>
  </si>
  <si>
    <t xml:space="preserve">Odbiory - liczba osób (1 wyjazd)</t>
  </si>
  <si>
    <t xml:space="preserve">KAL!F58</t>
  </si>
  <si>
    <t xml:space="preserve">Narzuty</t>
  </si>
  <si>
    <t xml:space="preserve">KOB (udział w cenie)</t>
  </si>
  <si>
    <t xml:space="preserve">KAL!J35</t>
  </si>
  <si>
    <t xml:space="preserve">GDW (udział w cenie)</t>
  </si>
  <si>
    <t xml:space="preserve">KAL!J36</t>
  </si>
  <si>
    <t xml:space="preserve">Podatek od robocizny, diet, GDW i zysku</t>
  </si>
  <si>
    <t xml:space="preserve">KAL!J37</t>
  </si>
  <si>
    <t xml:space="preserve">Serwis (informacyjnie)</t>
  </si>
  <si>
    <t xml:space="preserve">Konserwacja zł / MP / miesiąc (wariant 1)</t>
  </si>
  <si>
    <t xml:space="preserve">KAL!I45</t>
  </si>
  <si>
    <t xml:space="preserve">Konserwacja zł / MP / miesiąc (wariant 2)</t>
  </si>
  <si>
    <t xml:space="preserve">KAL!L45</t>
  </si>
  <si>
    <t xml:space="preserve">Konserwacja zł / MP / miesiąc (wariant 3)</t>
  </si>
  <si>
    <t xml:space="preserve">KAL!N45</t>
  </si>
  <si>
    <t xml:space="preserve">Zagłębienia (standard 170 cm - bez dopłaty, siłownik 1700)</t>
  </si>
  <si>
    <t xml:space="preserve">Zagłębienie [cm]</t>
  </si>
  <si>
    <t xml:space="preserve">Dopłata</t>
  </si>
  <si>
    <t xml:space="preserve">Siłownik</t>
  </si>
  <si>
    <t xml:space="preserve">Składowe platformy (na 1 platformę; N.P. liczone jak S)</t>
  </si>
  <si>
    <t xml:space="preserve">Pozycja</t>
  </si>
  <si>
    <t xml:space="preserve">Cena jedn.</t>
  </si>
  <si>
    <t xml:space="preserve">Ilość na S</t>
  </si>
  <si>
    <t xml:space="preserve">Ilość na D</t>
  </si>
  <si>
    <t xml:space="preserve">Grupa</t>
  </si>
  <si>
    <t xml:space="preserve">Łańcuch 20B-1 (mb)</t>
  </si>
  <si>
    <t xml:space="preserve">Mechanika</t>
  </si>
  <si>
    <t xml:space="preserve">Ogniwo złączne proste 20B-1</t>
  </si>
  <si>
    <t xml:space="preserve">Koło łańcuchowe z piastą 20B-1 Z10</t>
  </si>
  <si>
    <t xml:space="preserve">Koło łańcuchowe z piastą 20B-1 Z16</t>
  </si>
  <si>
    <t xml:space="preserve">Listwa zębata M4</t>
  </si>
  <si>
    <t xml:space="preserve">Koło zębate z piastą M4 Z20</t>
  </si>
  <si>
    <t xml:space="preserve">Tuleja PAF40x260P10</t>
  </si>
  <si>
    <t xml:space="preserve">Tuleja PAF 5025 P10</t>
  </si>
  <si>
    <t xml:space="preserve">Tuleja TBR40x44x50</t>
  </si>
  <si>
    <t xml:space="preserve">Podkładka PTFE 50,5x69x2</t>
  </si>
  <si>
    <t xml:space="preserve">Podkładka PTFE 42x66x1,5</t>
  </si>
  <si>
    <t xml:space="preserve">Tuleja PAF40x400P10</t>
  </si>
  <si>
    <t xml:space="preserve">Podkładki gumowe pod stopę siłownika i słup (kpl)</t>
  </si>
  <si>
    <t xml:space="preserve">Śruby i elementy złączne - kpl S</t>
  </si>
  <si>
    <t xml:space="preserve">Śruby i elementy złączne - kpl D</t>
  </si>
  <si>
    <t xml:space="preserve">Tulejki podłogi</t>
  </si>
  <si>
    <t xml:space="preserve">Kotwa M16 + ampułka</t>
  </si>
  <si>
    <t xml:space="preserve">Podkładki gumowe pod kotwy (kpl)</t>
  </si>
  <si>
    <t xml:space="preserve">Transport materiałów (bez MTZ)</t>
  </si>
  <si>
    <t xml:space="preserve">Ogranicznik koła</t>
  </si>
  <si>
    <t xml:space="preserve">Rurki gotowe na platformie - S</t>
  </si>
  <si>
    <t xml:space="preserve">Rurki gotowe na platformie - D</t>
  </si>
  <si>
    <t xml:space="preserve">Elementy złączne Argo Hytos + magistrala 5 mb + wąż</t>
  </si>
  <si>
    <t xml:space="preserve">Elektryka - skrzynka krosowa</t>
  </si>
  <si>
    <t xml:space="preserve">Elektryka</t>
  </si>
  <si>
    <t xml:space="preserve">Elektryka - przewody + rurki S</t>
  </si>
  <si>
    <t xml:space="preserve">Elektryka - przewody + rurki D</t>
  </si>
  <si>
    <t xml:space="preserve">Elektryka - sterownia (puszka+stac+przyc+notaus+szyld)</t>
  </si>
  <si>
    <t xml:space="preserve">Podpowiedź: transport TIR z Krakowa (komentarz z KAL!I21)</t>
  </si>
  <si>
    <t xml:space="preserve">Kraków</t>
  </si>
  <si>
    <t xml:space="preserve">Warszawa / Wrocław</t>
  </si>
  <si>
    <t xml:space="preserve">Poznań / Zielona Góra</t>
  </si>
  <si>
    <t xml:space="preserve">OBLICZENIA (nie edytować)</t>
  </si>
  <si>
    <t xml:space="preserve">A. Materiały i urządzenia (dawny arkusz 'NK38 ...')</t>
  </si>
  <si>
    <t xml:space="preserve">Cena platformy D</t>
  </si>
  <si>
    <t xml:space="preserve">Cena platformy S</t>
  </si>
  <si>
    <t xml:space="preserve">Cena systemu N.P.</t>
  </si>
  <si>
    <t xml:space="preserve">Platformy S + N.P. (do składowych)</t>
  </si>
  <si>
    <t xml:space="preserve">Razem platform</t>
  </si>
  <si>
    <t xml:space="preserve">Miejsca postojowe</t>
  </si>
  <si>
    <t xml:space="preserve">Platformy S z dopłatami</t>
  </si>
  <si>
    <t xml:space="preserve">Platformy D z dopłatami</t>
  </si>
  <si>
    <t xml:space="preserve">Platformy N.P.</t>
  </si>
  <si>
    <t xml:space="preserve">Siłowniki 2000 [szt. par]</t>
  </si>
  <si>
    <t xml:space="preserve">Siłowniki 2250 [szt. par]</t>
  </si>
  <si>
    <t xml:space="preserve">Siłowniki standard [szt. par] (N.P. pominięte jak w starym)</t>
  </si>
  <si>
    <t xml:space="preserve">Barierki i maskownice</t>
  </si>
  <si>
    <t xml:space="preserve">Mechanika zakupowa i pozostałe</t>
  </si>
  <si>
    <t xml:space="preserve">SUMA STANDARD Q=2000 (dawne F87)</t>
  </si>
  <si>
    <t xml:space="preserve">SUMA Q=2500 (dawne F90)</t>
  </si>
  <si>
    <t xml:space="preserve">Opcja: malowanie proszkowe RAL (poza sumą)</t>
  </si>
  <si>
    <t xml:space="preserve">Opcja: słupki 22 kW (poza sumą)</t>
  </si>
  <si>
    <t xml:space="preserve">"Tonaż" - dodatkowe osobodni (magistrala, barierki)</t>
  </si>
  <si>
    <t xml:space="preserve">Odległość pomiary/odbiory [km]</t>
  </si>
  <si>
    <t xml:space="preserve">Osoby na montażu</t>
  </si>
  <si>
    <t xml:space="preserve">Średnia stawka dzienna</t>
  </si>
  <si>
    <t xml:space="preserve">Dni rozładunku</t>
  </si>
  <si>
    <t xml:space="preserve">Kraków?</t>
  </si>
  <si>
    <t xml:space="preserve">Czas podróży pomiary + odbiory [osobodni]</t>
  </si>
  <si>
    <t xml:space="preserve">B. Montaż (dawny arkusz '&lt;Inwestycja&gt;-NK38') - warianty w kolumnach</t>
  </si>
  <si>
    <t xml:space="preserve">Q=2500? (1/0)</t>
  </si>
  <si>
    <t xml:space="preserve">Słupki e-ładowarek? (1/0)</t>
  </si>
  <si>
    <t xml:space="preserve">Osobodni montażu (dawne F50)</t>
  </si>
  <si>
    <t xml:space="preserve">Iteracja 1: tygodnie / dni montażu</t>
  </si>
  <si>
    <t xml:space="preserve">Iteracja 2: tygodnie / dni montażu</t>
  </si>
  <si>
    <t xml:space="preserve">Iteracja 3: tygodnie / dni montażu</t>
  </si>
  <si>
    <t xml:space="preserve">Iteracja 4: tygodnie / dni montażu</t>
  </si>
  <si>
    <t xml:space="preserve">Iteracja 5: tygodnie / dni montażu</t>
  </si>
  <si>
    <t xml:space="preserve">Tygodnie (lub dni w Krakowie) montażu - przyjęte (dawne B55)</t>
  </si>
  <si>
    <t xml:space="preserve">Osobodni podróży i rozładunku (dawne G59)</t>
  </si>
  <si>
    <t xml:space="preserve">Osobodni razem (montaż + podróże)</t>
  </si>
  <si>
    <t xml:space="preserve">Dni kalendarzowe pracy ekipy (dawne J39)</t>
  </si>
  <si>
    <t xml:space="preserve">Kilometry razem (auto ekipy)</t>
  </si>
  <si>
    <t xml:space="preserve">Paliwo</t>
  </si>
  <si>
    <t xml:space="preserve">Hotel</t>
  </si>
  <si>
    <t xml:space="preserve">Transport TIR</t>
  </si>
  <si>
    <t xml:space="preserve">Dni dźwigu</t>
  </si>
  <si>
    <t xml:space="preserve">Spider Crane</t>
  </si>
  <si>
    <t xml:space="preserve">Rozładunek (sprzęt)</t>
  </si>
  <si>
    <t xml:space="preserve">Rozładunek (ludzie)</t>
  </si>
  <si>
    <t xml:space="preserve">Dojazdy (ludzie)</t>
  </si>
  <si>
    <t xml:space="preserve">Montaż</t>
  </si>
  <si>
    <t xml:space="preserve">Diety</t>
  </si>
  <si>
    <t xml:space="preserve">Suma kosztów przed narzutami</t>
  </si>
  <si>
    <t xml:space="preserve">Podstawa narzutów</t>
  </si>
  <si>
    <t xml:space="preserve">KOB</t>
  </si>
  <si>
    <t xml:space="preserve">GDW</t>
  </si>
  <si>
    <t xml:space="preserve">Podatek</t>
  </si>
  <si>
    <t xml:space="preserve">CENA KONTRAKTU NETTO (dawne K39)</t>
  </si>
  <si>
    <t xml:space="preserve">Koszt rzeczywisty (dawne K43)</t>
  </si>
  <si>
    <t xml:space="preserve">Cena za MP</t>
  </si>
  <si>
    <t xml:space="preserve">Wariant minimalny: koszty przed narzutami</t>
  </si>
  <si>
    <t xml:space="preserve">Wariant minimalny: podstawa narzutów</t>
  </si>
  <si>
    <t xml:space="preserve">CENA MINIMALNA (zysk minimalny, dźwig 2000)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</si>
</sst>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"/>
    <numFmt numFmtId="166" formatCode="#,##0.##"/>
    <numFmt numFmtId="167" formatCode="0"/>
    <numFmt numFmtId="168" formatCode="General"/>
    <numFmt numFmtId="169" formatCode="#,##0&quot; zł&quot;"/>
    <numFmt numFmtId="170" formatCode="0.0%"/>
    <numFmt numFmtId="171" formatCode="0.0000"/>
    <numFmt numFmtId="172" formatCode="#,##0&quot; €&quot;"/>
    <numFmt numFmtId="173" formatCode="0.00000"/>
    <numFmt numFmtId="174" formatCode="#,##0.00&quot; zł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i val="true"/>
      <sz val="11"/>
      <color rgb="FF7F7F7F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7F7F7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48"/>
  </cols>
  <sheetData>
    <row r="2" customFormat="false" ht="24" hidden="false" customHeight="true" outlineLevel="0" collapsed="false">
      <c r="B2" s="1" t="s">
        <v>0</v>
      </c>
      <c r="C2" s="2"/>
      <c r="D2" s="2"/>
      <c r="E2" s="2"/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  <c r="C5" s="5"/>
      <c r="D5" s="5"/>
      <c r="E5" s="5"/>
    </row>
    <row r="6" customFormat="false" ht="15" hidden="false" customHeight="false" outlineLevel="0" collapsed="false">
      <c r="B6" s="0" t="s">
        <v>3</v>
      </c>
      <c r="C6" s="6" t="s">
        <v>4</v>
      </c>
    </row>
    <row r="7" customFormat="false" ht="15" hidden="false" customHeight="false" outlineLevel="0" collapsed="false">
      <c r="B7" s="0" t="s">
        <v>5</v>
      </c>
      <c r="C7" s="7"/>
    </row>
    <row r="8" customFormat="false" ht="15" hidden="false" customHeight="false" outlineLevel="0" collapsed="false">
      <c r="B8" s="0" t="s">
        <v>6</v>
      </c>
      <c r="C8" s="6" t="s">
        <v>7</v>
      </c>
    </row>
    <row r="9" customFormat="false" ht="15" hidden="false" customHeight="false" outlineLevel="0" collapsed="false">
      <c r="B9" s="0" t="s">
        <v>8</v>
      </c>
      <c r="C9" s="6"/>
    </row>
    <row r="11" customFormat="false" ht="15" hidden="false" customHeight="false" outlineLevel="0" collapsed="false">
      <c r="B11" s="4" t="s">
        <v>9</v>
      </c>
      <c r="C11" s="5"/>
      <c r="D11" s="5"/>
      <c r="E11" s="5"/>
    </row>
    <row r="12" customFormat="false" ht="15" hidden="false" customHeight="false" outlineLevel="0" collapsed="false">
      <c r="B12" s="0" t="s">
        <v>10</v>
      </c>
      <c r="C12" s="6" t="s">
        <v>11</v>
      </c>
      <c r="E12" s="8" t="s">
        <v>12</v>
      </c>
    </row>
    <row r="13" customFormat="false" ht="15" hidden="false" customHeight="false" outlineLevel="0" collapsed="false">
      <c r="B13" s="0" t="s">
        <v>13</v>
      </c>
      <c r="C13" s="9" t="n">
        <v>330</v>
      </c>
    </row>
    <row r="14" customFormat="false" ht="15" hidden="false" customHeight="false" outlineLevel="0" collapsed="false">
      <c r="B14" s="0" t="s">
        <v>14</v>
      </c>
      <c r="C14" s="9" t="n">
        <v>280</v>
      </c>
      <c r="E14" s="8" t="s">
        <v>15</v>
      </c>
    </row>
    <row r="16" customFormat="false" ht="15" hidden="false" customHeight="false" outlineLevel="0" collapsed="false">
      <c r="B16" s="4" t="s">
        <v>16</v>
      </c>
      <c r="C16" s="5"/>
      <c r="D16" s="5"/>
      <c r="E16" s="5"/>
    </row>
    <row r="17" customFormat="false" ht="15" hidden="false" customHeight="false" outlineLevel="0" collapsed="false">
      <c r="B17" s="0" t="s">
        <v>17</v>
      </c>
      <c r="C17" s="6" t="s">
        <v>18</v>
      </c>
    </row>
    <row r="18" customFormat="false" ht="15" hidden="false" customHeight="false" outlineLevel="0" collapsed="false">
      <c r="B18" s="0" t="s">
        <v>19</v>
      </c>
      <c r="C18" s="10" t="n">
        <v>0</v>
      </c>
    </row>
    <row r="19" customFormat="false" ht="15" hidden="false" customHeight="false" outlineLevel="0" collapsed="false">
      <c r="B19" s="0" t="s">
        <v>20</v>
      </c>
      <c r="C19" s="10" t="n">
        <v>15</v>
      </c>
    </row>
    <row r="20" customFormat="false" ht="15" hidden="false" customHeight="false" outlineLevel="0" collapsed="false">
      <c r="B20" s="0" t="s">
        <v>21</v>
      </c>
      <c r="C20" s="10" t="n">
        <v>0</v>
      </c>
    </row>
    <row r="21" customFormat="false" ht="15" hidden="false" customHeight="false" outlineLevel="0" collapsed="false">
      <c r="B21" s="0" t="s">
        <v>22</v>
      </c>
      <c r="C21" s="10" t="n">
        <v>3</v>
      </c>
      <c r="E21" s="8" t="s">
        <v>23</v>
      </c>
    </row>
    <row r="22" customFormat="false" ht="15" hidden="false" customHeight="false" outlineLevel="0" collapsed="false">
      <c r="B22" s="0" t="s">
        <v>24</v>
      </c>
      <c r="C22" s="10" t="n">
        <v>4</v>
      </c>
    </row>
    <row r="23" customFormat="false" ht="15" hidden="false" customHeight="false" outlineLevel="0" collapsed="false">
      <c r="B23" s="0" t="s">
        <v>25</v>
      </c>
      <c r="C23" s="10" t="n">
        <v>30</v>
      </c>
    </row>
    <row r="24" customFormat="false" ht="15" hidden="false" customHeight="false" outlineLevel="0" collapsed="false">
      <c r="B24" s="0" t="s">
        <v>26</v>
      </c>
      <c r="C24" s="10" t="n">
        <v>5</v>
      </c>
    </row>
    <row r="26" customFormat="false" ht="15" hidden="false" customHeight="false" outlineLevel="0" collapsed="false">
      <c r="B26" s="4" t="s">
        <v>27</v>
      </c>
      <c r="C26" s="5"/>
      <c r="D26" s="5"/>
      <c r="E26" s="5"/>
    </row>
    <row r="27" customFormat="false" ht="15" hidden="false" customHeight="false" outlineLevel="0" collapsed="false">
      <c r="C27" s="11" t="s">
        <v>28</v>
      </c>
      <c r="D27" s="11" t="s">
        <v>29</v>
      </c>
      <c r="E27" s="8" t="s">
        <v>30</v>
      </c>
    </row>
    <row r="28" customFormat="false" ht="15" hidden="false" customHeight="false" outlineLevel="0" collapsed="false">
      <c r="B28" s="0" t="s">
        <v>31</v>
      </c>
      <c r="C28" s="10" t="n">
        <v>0</v>
      </c>
      <c r="D28" s="10" t="n">
        <v>0</v>
      </c>
    </row>
    <row r="29" customFormat="false" ht="15" hidden="false" customHeight="false" outlineLevel="0" collapsed="false">
      <c r="B29" s="0" t="s">
        <v>32</v>
      </c>
      <c r="C29" s="10" t="n">
        <v>0</v>
      </c>
      <c r="D29" s="10" t="n">
        <v>0</v>
      </c>
    </row>
    <row r="30" customFormat="false" ht="15" hidden="false" customHeight="false" outlineLevel="0" collapsed="false">
      <c r="B30" s="0" t="s">
        <v>33</v>
      </c>
      <c r="C30" s="10" t="n">
        <v>0</v>
      </c>
      <c r="D30" s="10" t="n">
        <v>0</v>
      </c>
    </row>
    <row r="31" customFormat="false" ht="15" hidden="false" customHeight="false" outlineLevel="0" collapsed="false">
      <c r="B31" s="0" t="s">
        <v>34</v>
      </c>
      <c r="C31" s="10" t="n">
        <v>0</v>
      </c>
      <c r="D31" s="10" t="n">
        <v>0</v>
      </c>
    </row>
    <row r="32" customFormat="false" ht="15" hidden="false" customHeight="false" outlineLevel="0" collapsed="false">
      <c r="B32" s="0" t="s">
        <v>35</v>
      </c>
      <c r="C32" s="10" t="n">
        <v>0</v>
      </c>
      <c r="D32" s="10" t="n">
        <v>0</v>
      </c>
    </row>
    <row r="33" customFormat="false" ht="15" hidden="false" customHeight="false" outlineLevel="0" collapsed="false">
      <c r="B33" s="0" t="s">
        <v>36</v>
      </c>
      <c r="C33" s="10" t="n">
        <v>0</v>
      </c>
      <c r="D33" s="10" t="n">
        <v>15</v>
      </c>
    </row>
    <row r="34" customFormat="false" ht="15" hidden="false" customHeight="false" outlineLevel="0" collapsed="false">
      <c r="B34" s="0" t="s">
        <v>37</v>
      </c>
      <c r="C34" s="10" t="n">
        <v>0</v>
      </c>
      <c r="D34" s="10" t="n">
        <v>0</v>
      </c>
    </row>
    <row r="35" customFormat="false" ht="15" hidden="false" customHeight="false" outlineLevel="0" collapsed="false">
      <c r="B35" s="0" t="s">
        <v>38</v>
      </c>
      <c r="C35" s="10" t="n">
        <v>0</v>
      </c>
      <c r="D35" s="10" t="n">
        <v>0</v>
      </c>
    </row>
    <row r="36" customFormat="false" ht="15" hidden="false" customHeight="false" outlineLevel="0" collapsed="false">
      <c r="B36" s="0" t="s">
        <v>39</v>
      </c>
      <c r="C36" s="10" t="n">
        <v>0</v>
      </c>
      <c r="D36" s="10" t="n">
        <v>0</v>
      </c>
    </row>
    <row r="37" customFormat="false" ht="15" hidden="false" customHeight="false" outlineLevel="0" collapsed="false">
      <c r="B37" s="0" t="s">
        <v>40</v>
      </c>
      <c r="C37" s="12" t="n">
        <f aca="false">in_S-SUM(in_gl_S)</f>
        <v>0</v>
      </c>
      <c r="D37" s="12" t="n">
        <f aca="false">in_D-SUM(in_gl_D)</f>
        <v>0</v>
      </c>
    </row>
    <row r="38" customFormat="false" ht="15" hidden="false" customHeight="false" outlineLevel="0" collapsed="false">
      <c r="B38" s="0" t="s">
        <v>41</v>
      </c>
      <c r="C38" s="10" t="n">
        <v>0</v>
      </c>
      <c r="D38" s="10" t="n">
        <v>0</v>
      </c>
    </row>
    <row r="39" customFormat="false" ht="15" hidden="false" customHeight="false" outlineLevel="0" collapsed="false">
      <c r="B39" s="0" t="s">
        <v>42</v>
      </c>
      <c r="C39" s="10" t="n">
        <v>0</v>
      </c>
      <c r="D39" s="10" t="n">
        <v>0</v>
      </c>
    </row>
    <row r="40" customFormat="false" ht="15" hidden="false" customHeight="false" outlineLevel="0" collapsed="false">
      <c r="B40" s="0" t="s">
        <v>43</v>
      </c>
      <c r="C40" s="10" t="n">
        <v>0</v>
      </c>
      <c r="D40" s="10" t="n">
        <v>0</v>
      </c>
    </row>
    <row r="41" customFormat="false" ht="15" hidden="false" customHeight="false" outlineLevel="0" collapsed="false">
      <c r="B41" s="0" t="s">
        <v>44</v>
      </c>
      <c r="C41" s="10" t="n">
        <v>0</v>
      </c>
      <c r="D41" s="10" t="n">
        <v>0</v>
      </c>
    </row>
    <row r="42" customFormat="false" ht="15" hidden="false" customHeight="false" outlineLevel="0" collapsed="false">
      <c r="B42" s="0" t="s">
        <v>45</v>
      </c>
      <c r="C42" s="10" t="n">
        <v>0</v>
      </c>
      <c r="D42" s="10" t="n">
        <v>0</v>
      </c>
    </row>
    <row r="44" customFormat="false" ht="15" hidden="false" customHeight="false" outlineLevel="0" collapsed="false">
      <c r="B44" s="4" t="s">
        <v>46</v>
      </c>
      <c r="C44" s="5"/>
      <c r="D44" s="5"/>
      <c r="E44" s="5"/>
    </row>
    <row r="45" customFormat="false" ht="15" hidden="false" customHeight="false" outlineLevel="0" collapsed="false">
      <c r="B45" s="0" t="s">
        <v>47</v>
      </c>
      <c r="C45" s="10" t="n">
        <v>3</v>
      </c>
    </row>
    <row r="46" customFormat="false" ht="15" hidden="false" customHeight="false" outlineLevel="0" collapsed="false">
      <c r="B46" s="0" t="s">
        <v>48</v>
      </c>
      <c r="C46" s="13" t="n">
        <v>4000</v>
      </c>
      <c r="E46" s="8" t="s">
        <v>49</v>
      </c>
    </row>
    <row r="47" customFormat="false" ht="15" hidden="false" customHeight="false" outlineLevel="0" collapsed="false">
      <c r="B47" s="0" t="s">
        <v>50</v>
      </c>
      <c r="C47" s="13" t="n">
        <v>1700</v>
      </c>
      <c r="E47" s="8" t="s">
        <v>51</v>
      </c>
    </row>
    <row r="48" customFormat="false" ht="15" hidden="false" customHeight="false" outlineLevel="0" collapsed="false">
      <c r="B48" s="0" t="s">
        <v>52</v>
      </c>
      <c r="C48" s="9"/>
    </row>
    <row r="49" customFormat="false" ht="15" hidden="false" customHeight="false" outlineLevel="0" collapsed="false">
      <c r="B49" s="0" t="s">
        <v>53</v>
      </c>
      <c r="C49" s="10"/>
      <c r="E49" s="8" t="s">
        <v>54</v>
      </c>
    </row>
    <row r="50" customFormat="false" ht="15" hidden="false" customHeight="false" outlineLevel="0" collapsed="false">
      <c r="B50" s="11" t="s">
        <v>55</v>
      </c>
    </row>
    <row r="51" customFormat="false" ht="15" hidden="false" customHeight="false" outlineLevel="0" collapsed="false">
      <c r="B51" s="0" t="s">
        <v>56</v>
      </c>
      <c r="C51" s="13" t="n">
        <v>500</v>
      </c>
      <c r="E51" s="8" t="s">
        <v>57</v>
      </c>
    </row>
    <row r="52" customFormat="false" ht="15" hidden="false" customHeight="false" outlineLevel="0" collapsed="false">
      <c r="B52" s="0" t="s">
        <v>58</v>
      </c>
      <c r="C52" s="13" t="n">
        <v>400</v>
      </c>
    </row>
    <row r="53" customFormat="false" ht="15" hidden="false" customHeight="false" outlineLevel="0" collapsed="false">
      <c r="B53" s="0" t="s">
        <v>59</v>
      </c>
      <c r="C53" s="13" t="n">
        <v>350</v>
      </c>
    </row>
    <row r="54" customFormat="false" ht="15" hidden="false" customHeight="false" outlineLevel="0" collapsed="false">
      <c r="B54" s="0" t="s">
        <v>60</v>
      </c>
      <c r="C54" s="13" t="n">
        <v>350</v>
      </c>
    </row>
    <row r="55" customFormat="false" ht="15" hidden="false" customHeight="false" outlineLevel="0" collapsed="false">
      <c r="B55" s="0" t="s">
        <v>61</v>
      </c>
      <c r="C55" s="13"/>
    </row>
    <row r="56" customFormat="false" ht="15" hidden="false" customHeight="false" outlineLevel="0" collapsed="false">
      <c r="B56" s="0" t="s">
        <v>62</v>
      </c>
      <c r="C56" s="13"/>
    </row>
    <row r="57" customFormat="false" ht="15" hidden="false" customHeight="false" outlineLevel="0" collapsed="false">
      <c r="B57" s="0" t="s">
        <v>63</v>
      </c>
      <c r="C57" s="13"/>
    </row>
    <row r="59" customFormat="false" ht="15" hidden="false" customHeight="false" outlineLevel="0" collapsed="false">
      <c r="B59" s="4" t="s">
        <v>64</v>
      </c>
      <c r="C59" s="5"/>
      <c r="D59" s="5"/>
      <c r="E59" s="5"/>
    </row>
    <row r="60" customFormat="false" ht="15" hidden="false" customHeight="false" outlineLevel="0" collapsed="false">
      <c r="B60" s="0" t="s">
        <v>65</v>
      </c>
      <c r="C60" s="14" t="n">
        <v>0.125</v>
      </c>
    </row>
    <row r="61" customFormat="false" ht="15" hidden="false" customHeight="false" outlineLevel="0" collapsed="false">
      <c r="B61" s="0" t="s">
        <v>66</v>
      </c>
      <c r="C61" s="14" t="n">
        <v>0.1</v>
      </c>
    </row>
    <row r="62" customFormat="false" ht="15" hidden="false" customHeight="false" outlineLevel="0" collapsed="false">
      <c r="B62" s="0" t="s">
        <v>67</v>
      </c>
      <c r="C62" s="14" t="n">
        <v>0.06</v>
      </c>
      <c r="E62" s="8" t="s">
        <v>68</v>
      </c>
    </row>
    <row r="63" customFormat="false" ht="15" hidden="false" customHeight="false" outlineLevel="0" collapsed="false">
      <c r="B63" s="0" t="s">
        <v>69</v>
      </c>
      <c r="C63" s="15" t="n">
        <v>4.325</v>
      </c>
    </row>
    <row r="65" customFormat="false" ht="15" hidden="false" customHeight="false" outlineLevel="0" collapsed="false">
      <c r="B65" s="4" t="s">
        <v>70</v>
      </c>
      <c r="C65" s="5"/>
      <c r="D65" s="5"/>
      <c r="E65" s="5"/>
    </row>
    <row r="66" customFormat="false" ht="15" hidden="false" customHeight="false" outlineLevel="0" collapsed="false">
      <c r="B66" s="16" t="str">
        <f aca="false">IF(OR(C37&lt;0,D37&lt;0),"BŁĄD: więcej zagłębień niż platform","ok")</f>
        <v>ok</v>
      </c>
      <c r="C66" s="16"/>
      <c r="D66" s="16"/>
      <c r="E66" s="16"/>
    </row>
    <row r="67" customFormat="false" ht="15" hidden="false" customHeight="false" outlineLevel="0" collapsed="false">
      <c r="B67" s="16" t="str">
        <f aca="false">IF(in_szer1_S+in_szer2_S&gt;in_S,"BŁĄD: więcej szerokości S niż platform S",IF(in_szer1_D+in_szer2_D&gt;in_D,"BŁĄD: więcej szerokości D niż platform D","ok"))</f>
        <v>ok</v>
      </c>
      <c r="C67" s="16"/>
      <c r="D67" s="16"/>
      <c r="E67" s="16"/>
    </row>
    <row r="68" customFormat="false" ht="15" hidden="false" customHeight="false" outlineLevel="0" collapsed="false">
      <c r="B68" s="16" t="str">
        <f aca="false">IF(in_dl500_S+in_dl540_S+in_dl550_S&gt;in_S,"BŁĄD: więcej długości S niż platform S",IF(in_dl500_D+in_dl540_D+in_dl550_D&gt;in_D,"BŁĄD: więcej długości D niż platform D","ok"))</f>
        <v>ok</v>
      </c>
      <c r="C68" s="16"/>
      <c r="D68" s="16"/>
      <c r="E68" s="16"/>
    </row>
    <row r="69" customFormat="false" ht="15" hidden="false" customHeight="false" outlineLevel="0" collapsed="false">
      <c r="B69" s="16" t="str">
        <f aca="false">IF(in_agregaty*6&lt;in_S+in_D+in_NP,"UWAGA: mniej niż 1 agregat na 6 platform","ok")</f>
        <v>ok</v>
      </c>
      <c r="C69" s="16"/>
      <c r="D69" s="16"/>
      <c r="E69" s="16"/>
    </row>
    <row r="70" customFormat="false" ht="15" hidden="false" customHeight="false" outlineLevel="0" collapsed="false">
      <c r="B70" s="16" t="str">
        <f aca="false">IF(MAX(in_km,C_kmpom)&gt;=800,"UWAGA: &gt;=800 km - formuła czasu podróży nie uwzględnia liczby wyjazdów","ok")</f>
        <v>ok</v>
      </c>
      <c r="C70" s="16"/>
      <c r="D70" s="16"/>
      <c r="E70" s="16"/>
    </row>
    <row r="71" customFormat="false" ht="15" hidden="false" customHeight="false" outlineLevel="0" collapsed="false">
      <c r="B71" s="16" t="str">
        <f aca="false">IF(in_tir=0,"UWAGA: brak transportów","ok")</f>
        <v>ok</v>
      </c>
      <c r="C71" s="16"/>
      <c r="D71" s="16"/>
      <c r="E71" s="16"/>
    </row>
  </sheetData>
  <mergeCells count="6">
    <mergeCell ref="B66:E66"/>
    <mergeCell ref="B67:E67"/>
    <mergeCell ref="B68:E68"/>
    <mergeCell ref="B69:E69"/>
    <mergeCell ref="B70:E70"/>
    <mergeCell ref="B71:E71"/>
  </mergeCells>
  <conditionalFormatting sqref="B66:B71">
    <cfRule type="expression" priority="2" aboveAverage="0" equalAverage="0" bottom="0" percent="0" rank="0" text="" dxfId="0">
      <formula>B66&lt;&gt;"ok"</formula>
    </cfRule>
  </conditionalFormatting>
  <dataValidations count="3">
    <dataValidation allowBlank="false" errorStyle="stop" operator="between" showDropDown="false" showErrorMessage="false" showInputMessage="false" sqref="C12" type="list">
      <formula1>"Kraków,Poza Krakowem"</formula1>
      <formula2>0</formula2>
    </dataValidation>
    <dataValidation allowBlank="false" errorStyle="stop" operator="between" showDropDown="false" showErrorMessage="false" showInputMessage="false" sqref="C17" type="list">
      <formula1>"NK38,NK37"</formula1>
      <formula2>0</formula2>
    </dataValidation>
    <dataValidation allowBlank="false" errorStyle="stop" operator="greaterThanOrEqual" showDropDown="false" showErrorMessage="false" showInputMessage="false" sqref="C18:C24 C28:D36 C38:D42 C45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6" min="3" style="0" width="18"/>
    <col collapsed="false" customWidth="true" hidden="false" outlineLevel="0" max="7" min="7" style="0" width="2"/>
  </cols>
  <sheetData>
    <row r="2" customFormat="false" ht="24" hidden="false" customHeight="true" outlineLevel="0" collapsed="false">
      <c r="B2" s="1" t="s">
        <v>71</v>
      </c>
      <c r="C2" s="2"/>
      <c r="D2" s="2"/>
      <c r="E2" s="2"/>
      <c r="F2" s="2"/>
    </row>
    <row r="3" customFormat="false" ht="15" hidden="false" customHeight="false" outlineLevel="0" collapsed="false">
      <c r="B3" s="11" t="str">
        <f aca="false">in_nazwa&amp;"   |   "&amp;IF(ISBLANK(in_data),"",TEXT(in_data,"yyyy-mm-dd"))&amp;"   |   "&amp;in_nr</f>
        <v>ul. Kasprowicza 18 Warszawa   |      |   20261014-SNK</v>
      </c>
    </row>
    <row r="4" customFormat="false" ht="15" hidden="false" customHeight="false" outlineLevel="0" collapsed="false">
      <c r="B4" s="0" t="str">
        <f aca="false">in_typ&amp;" "&amp;IF(in_S&gt;0,in_S&amp;"xS ","")&amp;IF(in_D&gt;0,in_D&amp;"xD ","")&amp;IF(in_NP&gt;0,in_NP&amp;"xNP ","")&amp;in_agregaty&amp;"xA  |  "&amp;m_MP&amp;" MP  |  "&amp;in_lok</f>
        <v>NK38 15xD 3xA  |  60 MP  |  Poza Krakowem</v>
      </c>
    </row>
    <row r="6" customFormat="false" ht="15" hidden="false" customHeight="false" outlineLevel="0" collapsed="false">
      <c r="B6" s="4" t="s">
        <v>72</v>
      </c>
      <c r="C6" s="17" t="s">
        <v>73</v>
      </c>
      <c r="D6" s="17" t="s">
        <v>74</v>
      </c>
      <c r="E6" s="17" t="s">
        <v>75</v>
      </c>
      <c r="F6" s="17" t="s">
        <v>76</v>
      </c>
    </row>
    <row r="7" customFormat="false" ht="15" hidden="false" customHeight="false" outlineLevel="0" collapsed="false">
      <c r="B7" s="11" t="s">
        <v>77</v>
      </c>
      <c r="C7" s="18" t="n">
        <f aca="false">Obliczenia!D67</f>
        <v>951980.820675503</v>
      </c>
      <c r="D7" s="18" t="n">
        <f aca="false">Obliczenia!E67</f>
        <v>999035.721380829</v>
      </c>
      <c r="E7" s="18" t="n">
        <f aca="false">Obliczenia!F67</f>
        <v>1095544.9005226</v>
      </c>
      <c r="F7" s="18" t="n">
        <f aca="false">Obliczenia!G67</f>
        <v>1142599.80122793</v>
      </c>
    </row>
    <row r="8" customFormat="false" ht="15" hidden="false" customHeight="false" outlineLevel="0" collapsed="false">
      <c r="B8" s="0" t="s">
        <v>78</v>
      </c>
      <c r="C8" s="19" t="n">
        <f aca="false">Obliczenia!D69</f>
        <v>15866.3470112584</v>
      </c>
      <c r="D8" s="19" t="n">
        <f aca="false">Obliczenia!E69</f>
        <v>16650.5953563471</v>
      </c>
      <c r="E8" s="19" t="n">
        <f aca="false">Obliczenia!F69</f>
        <v>18259.0816753767</v>
      </c>
      <c r="F8" s="19" t="n">
        <f aca="false">Obliczenia!G69</f>
        <v>19043.3300204655</v>
      </c>
    </row>
    <row r="9" customFormat="false" ht="15" hidden="false" customHeight="false" outlineLevel="0" collapsed="false">
      <c r="B9" s="0" t="s">
        <v>79</v>
      </c>
      <c r="C9" s="20" t="n">
        <f aca="false">Obliczenia!D70</f>
        <v>3668.51954017535</v>
      </c>
      <c r="D9" s="20" t="n">
        <f aca="false">Obliczenia!E70</f>
        <v>3849.8486373057</v>
      </c>
      <c r="E9" s="20" t="n">
        <f aca="false">Obliczenia!F70</f>
        <v>4221.75298852641</v>
      </c>
      <c r="F9" s="20" t="n">
        <f aca="false">Obliczenia!G70</f>
        <v>4403.08208565676</v>
      </c>
    </row>
    <row r="10" customFormat="false" ht="15" hidden="false" customHeight="false" outlineLevel="0" collapsed="false">
      <c r="B10" s="0" t="s">
        <v>80</v>
      </c>
      <c r="C10" s="19" t="n">
        <f aca="false">Obliczenia!D73</f>
        <v>920388.543184828</v>
      </c>
      <c r="D10" s="19" t="n">
        <f aca="false">Obliczenia!E73</f>
        <v>965934.622012414</v>
      </c>
      <c r="E10" s="19" t="n">
        <f aca="false">Obliczenia!F73</f>
        <v>1059401.32154207</v>
      </c>
      <c r="F10" s="19" t="n">
        <f aca="false">Obliczenia!G73</f>
        <v>1104947.40036966</v>
      </c>
    </row>
    <row r="11" customFormat="false" ht="15" hidden="false" customHeight="false" outlineLevel="0" collapsed="false">
      <c r="B11" s="0" t="s">
        <v>81</v>
      </c>
      <c r="C11" s="19" t="n">
        <f aca="false">Obliczenia!D65</f>
        <v>115264.993491124</v>
      </c>
      <c r="D11" s="19" t="n">
        <f aca="false">Obliczenia!E65</f>
        <v>121025.877514793</v>
      </c>
      <c r="E11" s="19" t="n">
        <f aca="false">Obliczenia!F65</f>
        <v>132642.472189349</v>
      </c>
      <c r="F11" s="19" t="n">
        <f aca="false">Obliczenia!G65</f>
        <v>138403.356213018</v>
      </c>
    </row>
    <row r="12" customFormat="false" ht="15" hidden="false" customHeight="false" outlineLevel="0" collapsed="false">
      <c r="B12" s="0" t="s">
        <v>82</v>
      </c>
      <c r="C12" s="19" t="n">
        <f aca="false">Obliczenia!D68</f>
        <v>836715.827184379</v>
      </c>
      <c r="D12" s="19" t="n">
        <f aca="false">Obliczenia!E68</f>
        <v>878009.843866036</v>
      </c>
      <c r="E12" s="19" t="n">
        <f aca="false">Obliczenia!F68</f>
        <v>962902.428333255</v>
      </c>
      <c r="F12" s="19" t="n">
        <f aca="false">Obliczenia!G68</f>
        <v>1004196.44501491</v>
      </c>
    </row>
    <row r="14" customFormat="false" ht="15" hidden="false" customHeight="false" outlineLevel="0" collapsed="false">
      <c r="B14" s="0" t="s">
        <v>83</v>
      </c>
      <c r="C14" s="19" t="n">
        <f aca="false">Obliczenia!D49</f>
        <v>649059.6</v>
      </c>
      <c r="D14" s="19" t="n">
        <f aca="false">Obliczenia!E49</f>
        <v>688003.176</v>
      </c>
      <c r="E14" s="19" t="n">
        <f aca="false">Obliczenia!F49</f>
        <v>649059.6</v>
      </c>
      <c r="F14" s="19" t="n">
        <f aca="false">Obliczenia!G49</f>
        <v>688003.176</v>
      </c>
    </row>
    <row r="15" customFormat="false" ht="15" hidden="false" customHeight="false" outlineLevel="0" collapsed="false">
      <c r="B15" s="0" t="s">
        <v>84</v>
      </c>
      <c r="C15" s="19" t="n">
        <f aca="false">Obliczenia!D50</f>
        <v>0</v>
      </c>
      <c r="D15" s="19" t="n">
        <f aca="false">Obliczenia!E50</f>
        <v>0</v>
      </c>
      <c r="E15" s="19" t="n">
        <f aca="false">Obliczenia!F50</f>
        <v>102000</v>
      </c>
      <c r="F15" s="19" t="n">
        <f aca="false">Obliczenia!G50</f>
        <v>102000</v>
      </c>
    </row>
    <row r="16" customFormat="false" ht="15" hidden="false" customHeight="false" outlineLevel="0" collapsed="false">
      <c r="B16" s="0" t="s">
        <v>85</v>
      </c>
      <c r="C16" s="19" t="n">
        <f aca="false">Obliczenia!D53+Obliczenia!D55+Obliczenia!D56</f>
        <v>24300</v>
      </c>
      <c r="D16" s="19" t="n">
        <f aca="false">Obliczenia!E53+Obliczenia!E55+Obliczenia!E56</f>
        <v>24300</v>
      </c>
      <c r="E16" s="19" t="n">
        <f aca="false">Obliczenia!F53+Obliczenia!F55+Obliczenia!F56</f>
        <v>24300</v>
      </c>
      <c r="F16" s="19" t="n">
        <f aca="false">Obliczenia!G53+Obliczenia!G55+Obliczenia!G56</f>
        <v>24300</v>
      </c>
    </row>
    <row r="17" customFormat="false" ht="15" hidden="false" customHeight="false" outlineLevel="0" collapsed="false">
      <c r="B17" s="0" t="s">
        <v>86</v>
      </c>
      <c r="C17" s="19" t="n">
        <f aca="false">Obliczenia!D59+Obliczenia!D57+Obliczenia!D58</f>
        <v>67392.32</v>
      </c>
      <c r="D17" s="19" t="n">
        <f aca="false">Obliczenia!E59+Obliczenia!E57+Obliczenia!E58</f>
        <v>67392.32</v>
      </c>
      <c r="E17" s="19" t="n">
        <f aca="false">Obliczenia!F59+Obliczenia!F57+Obliczenia!F58</f>
        <v>77824.64</v>
      </c>
      <c r="F17" s="19" t="n">
        <f aca="false">Obliczenia!G59+Obliczenia!G57+Obliczenia!G58</f>
        <v>77824.64</v>
      </c>
    </row>
    <row r="18" customFormat="false" ht="15" hidden="false" customHeight="false" outlineLevel="0" collapsed="false">
      <c r="B18" s="0" t="s">
        <v>87</v>
      </c>
      <c r="C18" s="19" t="n">
        <f aca="false">Obliczenia!D52+Obliczenia!D60+Obliczenia!D51</f>
        <v>38439.436</v>
      </c>
      <c r="D18" s="19" t="n">
        <f aca="false">Obliczenia!E52+Obliczenia!E60+Obliczenia!E51</f>
        <v>38439.436</v>
      </c>
      <c r="E18" s="19" t="n">
        <f aca="false">Obliczenia!F52+Obliczenia!F60+Obliczenia!F51</f>
        <v>43478.872</v>
      </c>
      <c r="F18" s="19" t="n">
        <f aca="false">Obliczenia!G52+Obliczenia!G60+Obliczenia!G51</f>
        <v>43478.872</v>
      </c>
    </row>
    <row r="19" customFormat="false" ht="15" hidden="false" customHeight="false" outlineLevel="0" collapsed="false">
      <c r="B19" s="0" t="s">
        <v>88</v>
      </c>
      <c r="C19" s="19" t="n">
        <f aca="false">Obliczenia!D63+Obliczenia!D64+Obliczenia!D66</f>
        <v>57524.4711843787</v>
      </c>
      <c r="D19" s="19" t="n">
        <f aca="false">Obliczenia!E63+Obliczenia!E64+Obliczenia!E66</f>
        <v>59874.9118660355</v>
      </c>
      <c r="E19" s="19" t="n">
        <f aca="false">Obliczenia!F63+Obliczenia!F64+Obliczenia!F66</f>
        <v>66239.3163332545</v>
      </c>
      <c r="F19" s="19" t="n">
        <f aca="false">Obliczenia!G63+Obliczenia!G64+Obliczenia!G66</f>
        <v>68589.7570149112</v>
      </c>
    </row>
    <row r="21" customFormat="false" ht="15" hidden="false" customHeight="false" outlineLevel="0" collapsed="false">
      <c r="B21" s="11" t="s">
        <v>89</v>
      </c>
      <c r="C21" s="21" t="n">
        <f aca="false">Obliczenia!D47</f>
        <v>43</v>
      </c>
      <c r="D21" s="21" t="n">
        <f aca="false">Obliczenia!E47</f>
        <v>43</v>
      </c>
      <c r="E21" s="21" t="n">
        <f aca="false">Obliczenia!F47</f>
        <v>49</v>
      </c>
      <c r="F21" s="21" t="n">
        <f aca="false">Obliczenia!G47</f>
        <v>49</v>
      </c>
    </row>
    <row r="22" customFormat="false" ht="15" hidden="false" customHeight="false" outlineLevel="0" collapsed="false">
      <c r="B22" s="0" t="s">
        <v>90</v>
      </c>
      <c r="C22" s="22" t="n">
        <f aca="false">Obliczenia!D44</f>
        <v>9</v>
      </c>
      <c r="D22" s="22" t="n">
        <f aca="false">Obliczenia!E44</f>
        <v>9</v>
      </c>
      <c r="E22" s="22" t="n">
        <f aca="false">Obliczenia!F44</f>
        <v>10</v>
      </c>
      <c r="F22" s="22" t="n">
        <f aca="false">Obliczenia!G44</f>
        <v>10</v>
      </c>
    </row>
    <row r="23" customFormat="false" ht="15" hidden="false" customHeight="false" outlineLevel="0" collapsed="false">
      <c r="B23" s="0" t="s">
        <v>91</v>
      </c>
      <c r="C23" s="23" t="n">
        <f aca="false">Obliczenia!D46</f>
        <v>168.4808</v>
      </c>
      <c r="D23" s="23" t="n">
        <f aca="false">Obliczenia!E46</f>
        <v>168.4808</v>
      </c>
      <c r="E23" s="23" t="n">
        <f aca="false">Obliczenia!F46</f>
        <v>194.5616</v>
      </c>
      <c r="F23" s="23" t="n">
        <f aca="false">Obliczenia!G46</f>
        <v>194.5616</v>
      </c>
    </row>
    <row r="25" customFormat="false" ht="15" hidden="false" customHeight="false" outlineLevel="0" collapsed="false">
      <c r="B25" s="4" t="s">
        <v>92</v>
      </c>
      <c r="C25" s="5"/>
      <c r="D25" s="5"/>
      <c r="E25" s="5"/>
      <c r="F25" s="5"/>
    </row>
    <row r="26" customFormat="false" ht="15" hidden="false" customHeight="false" outlineLevel="0" collapsed="false">
      <c r="B26" s="0" t="s">
        <v>93</v>
      </c>
      <c r="C26" s="24" t="n">
        <f aca="false">m_malowanie</f>
        <v>208500</v>
      </c>
    </row>
    <row r="27" customFormat="false" ht="15" hidden="false" customHeight="false" outlineLevel="0" collapsed="false">
      <c r="B27" s="0" t="s">
        <v>94</v>
      </c>
      <c r="C27" s="24" t="n">
        <f aca="false">m_slupki22</f>
        <v>378000</v>
      </c>
    </row>
    <row r="28" customFormat="false" ht="15" hidden="false" customHeight="false" outlineLevel="0" collapsed="false">
      <c r="B28" s="0" t="s">
        <v>95</v>
      </c>
      <c r="C28" s="24" t="str">
        <f aca="false">TEXT(c_konserw*m_MP*12,"#,##0")&amp;" / "&amp;TEXT(c_konserw2*m_MP*12,"#,##0")&amp;" / "&amp;TEXT(c_konserw3*m_MP*12,"#,##0")&amp;" zł"</f>
        <v>28,800 / 32,400 / 36,000 zł</v>
      </c>
    </row>
    <row r="29" customFormat="false" ht="15" hidden="false" customHeight="false" outlineLevel="0" collapsed="false">
      <c r="B29" s="0" t="s">
        <v>96</v>
      </c>
      <c r="C29" s="24" t="str">
        <f aca="false">TEXT(c_konserw*m_MP*6,"#,##0")&amp;" / "&amp;TEXT(c_konserw2*m_MP*6,"#,##0")&amp;" / "&amp;TEXT(c_konserw3*m_MP*6,"#,##0")&amp;" zł"</f>
        <v>14,400 / 16,200 / 18,000 zł</v>
      </c>
    </row>
    <row r="31" customFormat="false" ht="15" hidden="false" customHeight="false" outlineLevel="0" collapsed="false">
      <c r="B31" s="11" t="s">
        <v>97</v>
      </c>
      <c r="C31" s="0" t="str">
        <f aca="false">IF(COUNTIF(Dane!B66:B71,"ok")=6,"wszystko ok","sprawdź arkusz Dane")</f>
        <v>wszystko ok</v>
      </c>
    </row>
  </sheetData>
  <conditionalFormatting sqref="C31">
    <cfRule type="expression" priority="2" aboveAverage="0" equalAverage="0" bottom="0" percent="0" rank="0" text="" dxfId="0">
      <formula>C31&lt;&gt;"wszystko 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4" min="3" style="0" width="14"/>
    <col collapsed="false" customWidth="true" hidden="false" outlineLevel="0" max="5" min="5" style="0" width="40"/>
    <col collapsed="false" customWidth="true" hidden="false" outlineLevel="0" max="6" min="6" style="0" width="12"/>
  </cols>
  <sheetData>
    <row r="2" customFormat="false" ht="24" hidden="false" customHeight="true" outlineLevel="0" collapsed="false">
      <c r="B2" s="1" t="s">
        <v>98</v>
      </c>
      <c r="C2" s="2"/>
      <c r="D2" s="2"/>
      <c r="E2" s="2"/>
      <c r="F2" s="2"/>
    </row>
    <row r="3" customFormat="false" ht="15" hidden="false" customHeight="false" outlineLevel="0" collapsed="false">
      <c r="B3" s="3" t="s">
        <v>99</v>
      </c>
    </row>
    <row r="5" customFormat="false" ht="15" hidden="false" customHeight="false" outlineLevel="0" collapsed="false">
      <c r="B5" s="4" t="s">
        <v>100</v>
      </c>
      <c r="C5" s="5"/>
      <c r="D5" s="5"/>
      <c r="E5" s="5"/>
    </row>
    <row r="6" customFormat="false" ht="15" hidden="false" customHeight="false" outlineLevel="0" collapsed="false">
      <c r="B6" s="0" t="s">
        <v>101</v>
      </c>
      <c r="C6" s="13" t="n">
        <v>32500</v>
      </c>
      <c r="E6" s="8" t="s">
        <v>102</v>
      </c>
    </row>
    <row r="7" customFormat="false" ht="15" hidden="false" customHeight="false" outlineLevel="0" collapsed="false">
      <c r="B7" s="0" t="s">
        <v>103</v>
      </c>
      <c r="C7" s="13" t="n">
        <v>700</v>
      </c>
      <c r="E7" s="8" t="s">
        <v>104</v>
      </c>
    </row>
    <row r="8" customFormat="false" ht="15" hidden="false" customHeight="false" outlineLevel="0" collapsed="false">
      <c r="B8" s="0" t="s">
        <v>105</v>
      </c>
      <c r="C8" s="14" t="n">
        <v>0.61</v>
      </c>
      <c r="E8" s="8" t="s">
        <v>106</v>
      </c>
    </row>
    <row r="9" customFormat="false" ht="15" hidden="false" customHeight="false" outlineLevel="0" collapsed="false">
      <c r="B9" s="0" t="s">
        <v>107</v>
      </c>
      <c r="C9" s="14" t="n">
        <v>0.85</v>
      </c>
      <c r="E9" s="8" t="s">
        <v>108</v>
      </c>
    </row>
    <row r="10" customFormat="false" ht="15" hidden="false" customHeight="false" outlineLevel="0" collapsed="false">
      <c r="B10" s="0" t="s">
        <v>109</v>
      </c>
      <c r="C10" s="13" t="n">
        <v>1170</v>
      </c>
      <c r="E10" s="8" t="s">
        <v>110</v>
      </c>
    </row>
    <row r="11" customFormat="false" ht="15" hidden="false" customHeight="false" outlineLevel="0" collapsed="false">
      <c r="B11" s="0" t="s">
        <v>111</v>
      </c>
      <c r="C11" s="13" t="n">
        <v>1560</v>
      </c>
      <c r="E11" s="8" t="s">
        <v>112</v>
      </c>
    </row>
    <row r="12" customFormat="false" ht="15" hidden="false" customHeight="false" outlineLevel="0" collapsed="false">
      <c r="B12" s="0" t="s">
        <v>113</v>
      </c>
      <c r="C12" s="13" t="n">
        <v>1820</v>
      </c>
      <c r="E12" s="8" t="s">
        <v>114</v>
      </c>
    </row>
    <row r="13" customFormat="false" ht="15" hidden="false" customHeight="false" outlineLevel="0" collapsed="false">
      <c r="B13" s="0" t="s">
        <v>115</v>
      </c>
      <c r="C13" s="13" t="n">
        <v>3110</v>
      </c>
      <c r="E13" s="8" t="s">
        <v>116</v>
      </c>
    </row>
    <row r="14" customFormat="false" ht="15" hidden="false" customHeight="false" outlineLevel="0" collapsed="false">
      <c r="B14" s="0" t="s">
        <v>43</v>
      </c>
      <c r="C14" s="13" t="n">
        <v>2340</v>
      </c>
      <c r="E14" s="8" t="s">
        <v>117</v>
      </c>
    </row>
    <row r="15" customFormat="false" ht="15" hidden="false" customHeight="false" outlineLevel="0" collapsed="false">
      <c r="B15" s="0" t="s">
        <v>118</v>
      </c>
      <c r="C15" s="25" t="n">
        <v>0.00127</v>
      </c>
      <c r="E15" s="8" t="s">
        <v>119</v>
      </c>
    </row>
    <row r="16" customFormat="false" ht="15" hidden="false" customHeight="false" outlineLevel="0" collapsed="false">
      <c r="B16" s="0" t="s">
        <v>120</v>
      </c>
      <c r="C16" s="14" t="n">
        <v>0.06</v>
      </c>
      <c r="E16" s="8" t="s">
        <v>121</v>
      </c>
    </row>
    <row r="17" customFormat="false" ht="15" hidden="false" customHeight="false" outlineLevel="0" collapsed="false">
      <c r="B17" s="4" t="s">
        <v>122</v>
      </c>
      <c r="C17" s="5"/>
      <c r="D17" s="5"/>
      <c r="E17" s="5"/>
    </row>
    <row r="18" customFormat="false" ht="15" hidden="false" customHeight="false" outlineLevel="0" collapsed="false">
      <c r="B18" s="0" t="s">
        <v>123</v>
      </c>
      <c r="C18" s="13" t="n">
        <v>6500</v>
      </c>
      <c r="E18" s="8" t="s">
        <v>124</v>
      </c>
    </row>
    <row r="19" customFormat="false" ht="15" hidden="false" customHeight="false" outlineLevel="0" collapsed="false">
      <c r="B19" s="0" t="s">
        <v>125</v>
      </c>
      <c r="C19" s="13" t="n">
        <v>1500</v>
      </c>
      <c r="E19" s="8" t="s">
        <v>126</v>
      </c>
    </row>
    <row r="20" customFormat="false" ht="15" hidden="false" customHeight="false" outlineLevel="0" collapsed="false">
      <c r="B20" s="0" t="s">
        <v>127</v>
      </c>
      <c r="C20" s="13" t="n">
        <v>200</v>
      </c>
      <c r="E20" s="8" t="s">
        <v>128</v>
      </c>
    </row>
    <row r="21" customFormat="false" ht="15" hidden="false" customHeight="false" outlineLevel="0" collapsed="false">
      <c r="B21" s="0" t="s">
        <v>129</v>
      </c>
      <c r="C21" s="13" t="n">
        <v>500</v>
      </c>
      <c r="E21" s="8" t="s">
        <v>130</v>
      </c>
    </row>
    <row r="22" customFormat="false" ht="15" hidden="false" customHeight="false" outlineLevel="0" collapsed="false">
      <c r="B22" s="0" t="s">
        <v>131</v>
      </c>
      <c r="C22" s="13" t="n">
        <v>50</v>
      </c>
      <c r="E22" s="8" t="s">
        <v>130</v>
      </c>
    </row>
    <row r="23" customFormat="false" ht="15" hidden="false" customHeight="false" outlineLevel="0" collapsed="false">
      <c r="B23" s="0" t="s">
        <v>132</v>
      </c>
      <c r="C23" s="13" t="n">
        <v>1080</v>
      </c>
      <c r="E23" s="8" t="s">
        <v>133</v>
      </c>
    </row>
    <row r="24" customFormat="false" ht="15" hidden="false" customHeight="false" outlineLevel="0" collapsed="false">
      <c r="B24" s="0" t="s">
        <v>134</v>
      </c>
      <c r="C24" s="13" t="n">
        <v>1175</v>
      </c>
      <c r="E24" s="8" t="s">
        <v>135</v>
      </c>
    </row>
    <row r="25" customFormat="false" ht="15" hidden="false" customHeight="false" outlineLevel="0" collapsed="false">
      <c r="B25" s="0" t="s">
        <v>136</v>
      </c>
      <c r="C25" s="13" t="n">
        <v>1250</v>
      </c>
      <c r="E25" s="8" t="s">
        <v>137</v>
      </c>
    </row>
    <row r="26" customFormat="false" ht="15" hidden="false" customHeight="false" outlineLevel="0" collapsed="false">
      <c r="B26" s="0" t="s">
        <v>138</v>
      </c>
      <c r="C26" s="26" t="n">
        <f aca="false">0.2*11+0.4*11+2*14+6*11+6*5+6*10</f>
        <v>190.6</v>
      </c>
      <c r="E26" s="8" t="s">
        <v>139</v>
      </c>
    </row>
    <row r="27" customFormat="false" ht="15" hidden="false" customHeight="false" outlineLevel="0" collapsed="false">
      <c r="B27" s="4" t="s">
        <v>140</v>
      </c>
      <c r="C27" s="5"/>
      <c r="D27" s="5"/>
      <c r="E27" s="5"/>
    </row>
    <row r="28" customFormat="false" ht="15" hidden="false" customHeight="false" outlineLevel="0" collapsed="false">
      <c r="B28" s="0" t="s">
        <v>141</v>
      </c>
      <c r="C28" s="13" t="n">
        <v>600</v>
      </c>
      <c r="E28" s="8" t="s">
        <v>142</v>
      </c>
    </row>
    <row r="29" customFormat="false" ht="15" hidden="false" customHeight="false" outlineLevel="0" collapsed="false">
      <c r="B29" s="0" t="s">
        <v>143</v>
      </c>
      <c r="C29" s="13" t="n">
        <v>700</v>
      </c>
      <c r="E29" s="8" t="s">
        <v>144</v>
      </c>
    </row>
    <row r="30" customFormat="false" ht="15" hidden="false" customHeight="false" outlineLevel="0" collapsed="false">
      <c r="B30" s="0" t="s">
        <v>145</v>
      </c>
      <c r="C30" s="13" t="n">
        <v>1000</v>
      </c>
      <c r="E30" s="8" t="s">
        <v>146</v>
      </c>
    </row>
    <row r="31" customFormat="false" ht="15" hidden="false" customHeight="false" outlineLevel="0" collapsed="false">
      <c r="B31" s="0" t="s">
        <v>147</v>
      </c>
      <c r="C31" s="13" t="n">
        <v>1800</v>
      </c>
      <c r="E31" s="8" t="s">
        <v>148</v>
      </c>
    </row>
    <row r="32" customFormat="false" ht="15" hidden="false" customHeight="false" outlineLevel="0" collapsed="false">
      <c r="B32" s="4" t="s">
        <v>149</v>
      </c>
      <c r="C32" s="5"/>
      <c r="D32" s="5"/>
      <c r="E32" s="5"/>
    </row>
    <row r="33" customFormat="false" ht="15" hidden="false" customHeight="false" outlineLevel="0" collapsed="false">
      <c r="B33" s="0" t="s">
        <v>150</v>
      </c>
      <c r="C33" s="13" t="n">
        <v>6400</v>
      </c>
      <c r="E33" s="8" t="s">
        <v>151</v>
      </c>
    </row>
    <row r="34" customFormat="false" ht="15" hidden="false" customHeight="false" outlineLevel="0" collapsed="false">
      <c r="B34" s="0" t="s">
        <v>152</v>
      </c>
      <c r="C34" s="13" t="n">
        <v>13500</v>
      </c>
      <c r="E34" s="8" t="s">
        <v>153</v>
      </c>
    </row>
    <row r="35" customFormat="false" ht="15" hidden="false" customHeight="false" outlineLevel="0" collapsed="false">
      <c r="B35" s="0" t="s">
        <v>154</v>
      </c>
      <c r="C35" s="13" t="n">
        <v>200</v>
      </c>
      <c r="E35" s="8" t="s">
        <v>155</v>
      </c>
    </row>
    <row r="36" customFormat="false" ht="15" hidden="false" customHeight="false" outlineLevel="0" collapsed="false">
      <c r="B36" s="0" t="s">
        <v>156</v>
      </c>
      <c r="C36" s="13" t="n">
        <v>1700</v>
      </c>
      <c r="E36" s="8" t="s">
        <v>157</v>
      </c>
    </row>
    <row r="37" customFormat="false" ht="15" hidden="false" customHeight="false" outlineLevel="0" collapsed="false">
      <c r="B37" s="0" t="s">
        <v>158</v>
      </c>
      <c r="C37" s="13" t="n">
        <v>6300</v>
      </c>
      <c r="E37" s="8" t="s">
        <v>159</v>
      </c>
    </row>
    <row r="38" customFormat="false" ht="15" hidden="false" customHeight="false" outlineLevel="0" collapsed="false">
      <c r="B38" s="0" t="s">
        <v>160</v>
      </c>
      <c r="C38" s="9" t="n">
        <v>0.37</v>
      </c>
      <c r="E38" s="8" t="s">
        <v>161</v>
      </c>
    </row>
    <row r="39" customFormat="false" ht="15" hidden="false" customHeight="false" outlineLevel="0" collapsed="false">
      <c r="B39" s="4" t="s">
        <v>162</v>
      </c>
      <c r="C39" s="5"/>
      <c r="D39" s="5"/>
      <c r="E39" s="5"/>
    </row>
    <row r="40" customFormat="false" ht="15" hidden="false" customHeight="false" outlineLevel="0" collapsed="false">
      <c r="B40" s="0" t="s">
        <v>163</v>
      </c>
      <c r="C40" s="9" t="n">
        <v>5.5</v>
      </c>
      <c r="E40" s="8" t="s">
        <v>164</v>
      </c>
    </row>
    <row r="41" customFormat="false" ht="15" hidden="false" customHeight="false" outlineLevel="0" collapsed="false">
      <c r="B41" s="0" t="s">
        <v>165</v>
      </c>
      <c r="C41" s="9" t="n">
        <v>7</v>
      </c>
      <c r="E41" s="8" t="s">
        <v>164</v>
      </c>
    </row>
    <row r="42" customFormat="false" ht="15" hidden="false" customHeight="false" outlineLevel="0" collapsed="false">
      <c r="B42" s="0" t="s">
        <v>166</v>
      </c>
      <c r="C42" s="9" t="n">
        <v>7</v>
      </c>
      <c r="E42" s="8" t="s">
        <v>167</v>
      </c>
    </row>
    <row r="43" customFormat="false" ht="15" hidden="false" customHeight="false" outlineLevel="0" collapsed="false">
      <c r="B43" s="0" t="s">
        <v>168</v>
      </c>
      <c r="C43" s="9" t="n">
        <v>0.5</v>
      </c>
      <c r="E43" s="8" t="s">
        <v>169</v>
      </c>
    </row>
    <row r="44" customFormat="false" ht="15" hidden="false" customHeight="false" outlineLevel="0" collapsed="false">
      <c r="B44" s="0" t="s">
        <v>170</v>
      </c>
      <c r="C44" s="9" t="n">
        <v>0.5</v>
      </c>
      <c r="E44" s="8" t="s">
        <v>169</v>
      </c>
    </row>
    <row r="45" customFormat="false" ht="15" hidden="false" customHeight="false" outlineLevel="0" collapsed="false">
      <c r="B45" s="0" t="s">
        <v>171</v>
      </c>
      <c r="C45" s="9" t="n">
        <v>0.5</v>
      </c>
      <c r="E45" s="8" t="s">
        <v>172</v>
      </c>
    </row>
    <row r="46" customFormat="false" ht="15" hidden="false" customHeight="false" outlineLevel="0" collapsed="false">
      <c r="B46" s="0" t="s">
        <v>173</v>
      </c>
      <c r="C46" s="13" t="n">
        <v>2400</v>
      </c>
      <c r="E46" s="8" t="s">
        <v>174</v>
      </c>
    </row>
    <row r="47" customFormat="false" ht="15" hidden="false" customHeight="false" outlineLevel="0" collapsed="false">
      <c r="B47" s="0" t="s">
        <v>175</v>
      </c>
      <c r="C47" s="13" t="n">
        <v>2000</v>
      </c>
      <c r="E47" s="8" t="s">
        <v>176</v>
      </c>
    </row>
    <row r="48" customFormat="false" ht="15" hidden="false" customHeight="false" outlineLevel="0" collapsed="false">
      <c r="B48" s="0" t="s">
        <v>177</v>
      </c>
      <c r="C48" s="9" t="n">
        <v>5</v>
      </c>
      <c r="E48" s="8" t="s">
        <v>178</v>
      </c>
    </row>
    <row r="49" customFormat="false" ht="15" hidden="false" customHeight="false" outlineLevel="0" collapsed="false">
      <c r="B49" s="0" t="s">
        <v>179</v>
      </c>
      <c r="C49" s="9" t="n">
        <v>0.6</v>
      </c>
      <c r="E49" s="8" t="s">
        <v>178</v>
      </c>
    </row>
    <row r="50" customFormat="false" ht="15" hidden="false" customHeight="false" outlineLevel="0" collapsed="false">
      <c r="B50" s="0" t="s">
        <v>180</v>
      </c>
      <c r="C50" s="9" t="n">
        <v>5</v>
      </c>
      <c r="E50" s="8" t="s">
        <v>181</v>
      </c>
    </row>
    <row r="51" customFormat="false" ht="15" hidden="false" customHeight="false" outlineLevel="0" collapsed="false">
      <c r="B51" s="4" t="s">
        <v>182</v>
      </c>
      <c r="C51" s="5"/>
      <c r="D51" s="5"/>
      <c r="E51" s="5"/>
    </row>
    <row r="52" customFormat="false" ht="15" hidden="false" customHeight="false" outlineLevel="0" collapsed="false">
      <c r="B52" s="0" t="s">
        <v>183</v>
      </c>
      <c r="C52" s="13" t="n">
        <v>45</v>
      </c>
      <c r="E52" s="8" t="s">
        <v>184</v>
      </c>
    </row>
    <row r="53" customFormat="false" ht="15" hidden="false" customHeight="false" outlineLevel="0" collapsed="false">
      <c r="B53" s="0" t="s">
        <v>185</v>
      </c>
      <c r="C53" s="13" t="n">
        <v>130</v>
      </c>
      <c r="E53" s="8" t="s">
        <v>186</v>
      </c>
    </row>
    <row r="54" customFormat="false" ht="15" hidden="false" customHeight="false" outlineLevel="0" collapsed="false">
      <c r="B54" s="0" t="s">
        <v>187</v>
      </c>
      <c r="C54" s="9" t="n">
        <v>12</v>
      </c>
      <c r="E54" s="8" t="s">
        <v>188</v>
      </c>
    </row>
    <row r="55" customFormat="false" ht="15" hidden="false" customHeight="false" outlineLevel="0" collapsed="false">
      <c r="B55" s="0" t="s">
        <v>189</v>
      </c>
      <c r="C55" s="26" t="n">
        <v>9.4</v>
      </c>
      <c r="E55" s="8" t="s">
        <v>188</v>
      </c>
    </row>
    <row r="56" customFormat="false" ht="15" hidden="false" customHeight="false" outlineLevel="0" collapsed="false">
      <c r="B56" s="0" t="s">
        <v>190</v>
      </c>
      <c r="C56" s="9" t="n">
        <v>1</v>
      </c>
      <c r="E56" s="8" t="s">
        <v>191</v>
      </c>
    </row>
    <row r="57" customFormat="false" ht="15" hidden="false" customHeight="false" outlineLevel="0" collapsed="false">
      <c r="B57" s="0" t="s">
        <v>192</v>
      </c>
      <c r="C57" s="9" t="n">
        <v>2</v>
      </c>
      <c r="E57" s="8" t="s">
        <v>193</v>
      </c>
    </row>
    <row r="58" customFormat="false" ht="15" hidden="false" customHeight="false" outlineLevel="0" collapsed="false">
      <c r="B58" s="4" t="s">
        <v>194</v>
      </c>
      <c r="C58" s="5"/>
      <c r="D58" s="5"/>
      <c r="E58" s="5"/>
    </row>
    <row r="59" customFormat="false" ht="15" hidden="false" customHeight="false" outlineLevel="0" collapsed="false">
      <c r="B59" s="0" t="s">
        <v>195</v>
      </c>
      <c r="C59" s="14" t="n">
        <v>0.005</v>
      </c>
      <c r="E59" s="8" t="s">
        <v>196</v>
      </c>
    </row>
    <row r="60" customFormat="false" ht="15" hidden="false" customHeight="false" outlineLevel="0" collapsed="false">
      <c r="B60" s="0" t="s">
        <v>197</v>
      </c>
      <c r="C60" s="14" t="n">
        <v>0.025</v>
      </c>
      <c r="E60" s="8" t="s">
        <v>198</v>
      </c>
    </row>
    <row r="61" customFormat="false" ht="15" hidden="false" customHeight="false" outlineLevel="0" collapsed="false">
      <c r="B61" s="0" t="s">
        <v>199</v>
      </c>
      <c r="C61" s="14" t="n">
        <v>0.14</v>
      </c>
      <c r="E61" s="8" t="s">
        <v>200</v>
      </c>
    </row>
    <row r="62" customFormat="false" ht="15" hidden="false" customHeight="false" outlineLevel="0" collapsed="false">
      <c r="B62" s="4" t="s">
        <v>201</v>
      </c>
      <c r="C62" s="5"/>
      <c r="D62" s="5"/>
      <c r="E62" s="5"/>
    </row>
    <row r="63" customFormat="false" ht="15" hidden="false" customHeight="false" outlineLevel="0" collapsed="false">
      <c r="B63" s="0" t="s">
        <v>202</v>
      </c>
      <c r="C63" s="13" t="n">
        <v>40</v>
      </c>
      <c r="E63" s="8" t="s">
        <v>203</v>
      </c>
    </row>
    <row r="64" customFormat="false" ht="15" hidden="false" customHeight="false" outlineLevel="0" collapsed="false">
      <c r="B64" s="0" t="s">
        <v>204</v>
      </c>
      <c r="C64" s="13" t="n">
        <v>45</v>
      </c>
      <c r="E64" s="8" t="s">
        <v>205</v>
      </c>
    </row>
    <row r="65" customFormat="false" ht="15" hidden="false" customHeight="false" outlineLevel="0" collapsed="false">
      <c r="B65" s="0" t="s">
        <v>206</v>
      </c>
      <c r="C65" s="13" t="n">
        <v>50</v>
      </c>
      <c r="E65" s="8" t="s">
        <v>207</v>
      </c>
    </row>
    <row r="67" customFormat="false" ht="15" hidden="false" customHeight="false" outlineLevel="0" collapsed="false">
      <c r="B67" s="4" t="s">
        <v>208</v>
      </c>
      <c r="C67" s="5"/>
      <c r="D67" s="5"/>
      <c r="E67" s="5"/>
    </row>
    <row r="68" customFormat="false" ht="15" hidden="false" customHeight="false" outlineLevel="0" collapsed="false">
      <c r="B68" s="11" t="s">
        <v>209</v>
      </c>
      <c r="C68" s="11" t="s">
        <v>210</v>
      </c>
      <c r="D68" s="11" t="s">
        <v>211</v>
      </c>
    </row>
    <row r="69" customFormat="false" ht="15" hidden="false" customHeight="false" outlineLevel="0" collapsed="false">
      <c r="B69" s="0" t="n">
        <v>175</v>
      </c>
      <c r="C69" s="27" t="n">
        <v>0</v>
      </c>
      <c r="D69" s="28" t="n">
        <v>2000</v>
      </c>
    </row>
    <row r="70" customFormat="false" ht="15" hidden="false" customHeight="false" outlineLevel="0" collapsed="false">
      <c r="B70" s="0" t="n">
        <v>180</v>
      </c>
      <c r="C70" s="27" t="n">
        <v>500</v>
      </c>
      <c r="D70" s="28" t="n">
        <v>2000</v>
      </c>
    </row>
    <row r="71" customFormat="false" ht="15" hidden="false" customHeight="false" outlineLevel="0" collapsed="false">
      <c r="B71" s="0" t="n">
        <v>185</v>
      </c>
      <c r="C71" s="27" t="n">
        <v>550</v>
      </c>
      <c r="D71" s="28" t="n">
        <v>2000</v>
      </c>
    </row>
    <row r="72" customFormat="false" ht="15" hidden="false" customHeight="false" outlineLevel="0" collapsed="false">
      <c r="B72" s="0" t="n">
        <v>190</v>
      </c>
      <c r="C72" s="27" t="n">
        <v>600</v>
      </c>
      <c r="D72" s="28" t="n">
        <v>2000</v>
      </c>
    </row>
    <row r="73" customFormat="false" ht="15" hidden="false" customHeight="false" outlineLevel="0" collapsed="false">
      <c r="B73" s="0" t="n">
        <v>195</v>
      </c>
      <c r="C73" s="27" t="n">
        <v>650</v>
      </c>
      <c r="D73" s="28" t="n">
        <v>2000</v>
      </c>
    </row>
    <row r="74" customFormat="false" ht="15" hidden="false" customHeight="false" outlineLevel="0" collapsed="false">
      <c r="B74" s="0" t="n">
        <v>200</v>
      </c>
      <c r="C74" s="27" t="n">
        <v>700</v>
      </c>
      <c r="D74" s="28" t="n">
        <v>2000</v>
      </c>
    </row>
    <row r="75" customFormat="false" ht="15" hidden="false" customHeight="false" outlineLevel="0" collapsed="false">
      <c r="B75" s="0" t="n">
        <v>210</v>
      </c>
      <c r="C75" s="27" t="n">
        <v>750</v>
      </c>
      <c r="D75" s="28" t="n">
        <v>2250</v>
      </c>
    </row>
    <row r="76" customFormat="false" ht="15" hidden="false" customHeight="false" outlineLevel="0" collapsed="false">
      <c r="B76" s="0" t="n">
        <v>220</v>
      </c>
      <c r="C76" s="27" t="n">
        <v>800</v>
      </c>
      <c r="D76" s="28" t="n">
        <v>2250</v>
      </c>
    </row>
    <row r="77" customFormat="false" ht="15" hidden="false" customHeight="false" outlineLevel="0" collapsed="false">
      <c r="B77" s="0" t="n">
        <v>225</v>
      </c>
      <c r="C77" s="27" t="n">
        <v>850</v>
      </c>
      <c r="D77" s="28" t="n">
        <v>2250</v>
      </c>
    </row>
    <row r="79" customFormat="false" ht="15" hidden="false" customHeight="false" outlineLevel="0" collapsed="false">
      <c r="B79" s="4" t="s">
        <v>212</v>
      </c>
      <c r="C79" s="5"/>
      <c r="D79" s="5"/>
      <c r="E79" s="5"/>
      <c r="F79" s="5"/>
    </row>
    <row r="80" customFormat="false" ht="15" hidden="false" customHeight="false" outlineLevel="0" collapsed="false">
      <c r="B80" s="11" t="s">
        <v>213</v>
      </c>
      <c r="C80" s="11" t="s">
        <v>214</v>
      </c>
      <c r="D80" s="11" t="s">
        <v>215</v>
      </c>
      <c r="E80" s="11" t="s">
        <v>216</v>
      </c>
      <c r="F80" s="11" t="s">
        <v>217</v>
      </c>
    </row>
    <row r="81" customFormat="false" ht="15" hidden="false" customHeight="false" outlineLevel="0" collapsed="false">
      <c r="B81" s="0" t="s">
        <v>218</v>
      </c>
      <c r="C81" s="29" t="n">
        <v>45</v>
      </c>
      <c r="D81" s="28" t="n">
        <v>9.6</v>
      </c>
      <c r="E81" s="28" t="n">
        <v>9.6</v>
      </c>
      <c r="F81" s="30" t="s">
        <v>219</v>
      </c>
    </row>
    <row r="82" customFormat="false" ht="15" hidden="false" customHeight="false" outlineLevel="0" collapsed="false">
      <c r="B82" s="0" t="s">
        <v>220</v>
      </c>
      <c r="C82" s="29" t="n">
        <v>8</v>
      </c>
      <c r="D82" s="28" t="n">
        <v>4</v>
      </c>
      <c r="E82" s="28" t="n">
        <v>4</v>
      </c>
      <c r="F82" s="30" t="s">
        <v>219</v>
      </c>
    </row>
    <row r="83" customFormat="false" ht="15" hidden="false" customHeight="false" outlineLevel="0" collapsed="false">
      <c r="B83" s="0" t="s">
        <v>221</v>
      </c>
      <c r="C83" s="29" t="n">
        <v>36</v>
      </c>
      <c r="D83" s="28" t="n">
        <v>2</v>
      </c>
      <c r="E83" s="28" t="n">
        <v>2</v>
      </c>
      <c r="F83" s="30" t="s">
        <v>219</v>
      </c>
    </row>
    <row r="84" customFormat="false" ht="15" hidden="false" customHeight="false" outlineLevel="0" collapsed="false">
      <c r="B84" s="0" t="s">
        <v>222</v>
      </c>
      <c r="C84" s="29" t="n">
        <v>90</v>
      </c>
      <c r="D84" s="28" t="n">
        <v>2</v>
      </c>
      <c r="E84" s="28" t="n">
        <v>2</v>
      </c>
      <c r="F84" s="30" t="s">
        <v>219</v>
      </c>
    </row>
    <row r="85" customFormat="false" ht="15" hidden="false" customHeight="false" outlineLevel="0" collapsed="false">
      <c r="B85" s="0" t="s">
        <v>223</v>
      </c>
      <c r="C85" s="29" t="n">
        <v>207.28</v>
      </c>
      <c r="D85" s="28" t="n">
        <v>2</v>
      </c>
      <c r="E85" s="28" t="n">
        <v>2</v>
      </c>
      <c r="F85" s="30" t="s">
        <v>219</v>
      </c>
    </row>
    <row r="86" customFormat="false" ht="15" hidden="false" customHeight="false" outlineLevel="0" collapsed="false">
      <c r="B86" s="0" t="s">
        <v>224</v>
      </c>
      <c r="C86" s="29" t="n">
        <v>40.14</v>
      </c>
      <c r="D86" s="28" t="n">
        <v>2</v>
      </c>
      <c r="E86" s="28" t="n">
        <v>2</v>
      </c>
      <c r="F86" s="30" t="s">
        <v>219</v>
      </c>
    </row>
    <row r="87" customFormat="false" ht="15" hidden="false" customHeight="false" outlineLevel="0" collapsed="false">
      <c r="B87" s="0" t="s">
        <v>225</v>
      </c>
      <c r="C87" s="29" t="n">
        <v>3.3</v>
      </c>
      <c r="D87" s="28" t="n">
        <v>2</v>
      </c>
      <c r="E87" s="28" t="n">
        <v>2</v>
      </c>
      <c r="F87" s="30" t="s">
        <v>219</v>
      </c>
    </row>
    <row r="88" customFormat="false" ht="15" hidden="false" customHeight="false" outlineLevel="0" collapsed="false">
      <c r="B88" s="0" t="s">
        <v>226</v>
      </c>
      <c r="C88" s="29" t="n">
        <v>10.8</v>
      </c>
      <c r="D88" s="28" t="n">
        <v>2</v>
      </c>
      <c r="E88" s="28" t="n">
        <v>2</v>
      </c>
      <c r="F88" s="30" t="s">
        <v>219</v>
      </c>
    </row>
    <row r="89" customFormat="false" ht="15" hidden="false" customHeight="false" outlineLevel="0" collapsed="false">
      <c r="B89" s="0" t="s">
        <v>227</v>
      </c>
      <c r="C89" s="29" t="n">
        <v>10.95</v>
      </c>
      <c r="D89" s="28" t="n">
        <v>2</v>
      </c>
      <c r="E89" s="28" t="n">
        <v>2</v>
      </c>
      <c r="F89" s="30" t="s">
        <v>219</v>
      </c>
    </row>
    <row r="90" customFormat="false" ht="15" hidden="false" customHeight="false" outlineLevel="0" collapsed="false">
      <c r="B90" s="0" t="s">
        <v>228</v>
      </c>
      <c r="C90" s="29" t="n">
        <v>3.81</v>
      </c>
      <c r="D90" s="28" t="n">
        <v>2</v>
      </c>
      <c r="E90" s="28" t="n">
        <v>2</v>
      </c>
      <c r="F90" s="30" t="s">
        <v>219</v>
      </c>
    </row>
    <row r="91" customFormat="false" ht="15" hidden="false" customHeight="false" outlineLevel="0" collapsed="false">
      <c r="B91" s="0" t="s">
        <v>229</v>
      </c>
      <c r="C91" s="29" t="n">
        <v>2.84</v>
      </c>
      <c r="D91" s="28" t="n">
        <v>4</v>
      </c>
      <c r="E91" s="28" t="n">
        <v>4</v>
      </c>
      <c r="F91" s="30" t="s">
        <v>219</v>
      </c>
    </row>
    <row r="92" customFormat="false" ht="15" hidden="false" customHeight="false" outlineLevel="0" collapsed="false">
      <c r="B92" s="0" t="s">
        <v>230</v>
      </c>
      <c r="C92" s="29" t="n">
        <v>4.4</v>
      </c>
      <c r="D92" s="28" t="n">
        <v>4</v>
      </c>
      <c r="E92" s="28" t="n">
        <v>4</v>
      </c>
      <c r="F92" s="30" t="s">
        <v>219</v>
      </c>
    </row>
    <row r="93" customFormat="false" ht="15" hidden="false" customHeight="false" outlineLevel="0" collapsed="false">
      <c r="B93" s="0" t="s">
        <v>231</v>
      </c>
      <c r="C93" s="29" t="n">
        <f aca="false">2*25.71+2*22.85</f>
        <v>97.12</v>
      </c>
      <c r="D93" s="28" t="n">
        <v>1</v>
      </c>
      <c r="E93" s="28" t="n">
        <v>1</v>
      </c>
      <c r="F93" s="30" t="s">
        <v>219</v>
      </c>
    </row>
    <row r="94" customFormat="false" ht="15" hidden="false" customHeight="false" outlineLevel="0" collapsed="false">
      <c r="B94" s="0" t="s">
        <v>232</v>
      </c>
      <c r="C94" s="29" t="n">
        <v>345</v>
      </c>
      <c r="D94" s="28" t="n">
        <v>1</v>
      </c>
      <c r="E94" s="28" t="n">
        <v>0</v>
      </c>
      <c r="F94" s="30" t="s">
        <v>219</v>
      </c>
    </row>
    <row r="95" customFormat="false" ht="15" hidden="false" customHeight="false" outlineLevel="0" collapsed="false">
      <c r="B95" s="0" t="s">
        <v>233</v>
      </c>
      <c r="C95" s="29" t="n">
        <v>546</v>
      </c>
      <c r="D95" s="28" t="n">
        <v>0</v>
      </c>
      <c r="E95" s="28" t="n">
        <v>1</v>
      </c>
      <c r="F95" s="30" t="s">
        <v>219</v>
      </c>
    </row>
    <row r="96" customFormat="false" ht="15" hidden="false" customHeight="false" outlineLevel="0" collapsed="false">
      <c r="B96" s="0" t="s">
        <v>234</v>
      </c>
      <c r="C96" s="29" t="n">
        <v>2.98</v>
      </c>
      <c r="D96" s="28" t="n">
        <v>110</v>
      </c>
      <c r="E96" s="28" t="n">
        <v>208</v>
      </c>
      <c r="F96" s="30" t="s">
        <v>219</v>
      </c>
    </row>
    <row r="97" customFormat="false" ht="15" hidden="false" customHeight="false" outlineLevel="0" collapsed="false">
      <c r="B97" s="0" t="s">
        <v>235</v>
      </c>
      <c r="C97" s="29" t="n">
        <f aca="false">3.09+4.99</f>
        <v>8.08</v>
      </c>
      <c r="D97" s="28" t="n">
        <v>20</v>
      </c>
      <c r="E97" s="28" t="n">
        <v>20</v>
      </c>
      <c r="F97" s="30" t="s">
        <v>219</v>
      </c>
    </row>
    <row r="98" customFormat="false" ht="15" hidden="false" customHeight="false" outlineLevel="0" collapsed="false">
      <c r="B98" s="0" t="s">
        <v>236</v>
      </c>
      <c r="C98" s="29" t="n">
        <v>5.4</v>
      </c>
      <c r="D98" s="28" t="n">
        <v>1</v>
      </c>
      <c r="E98" s="28" t="n">
        <v>1</v>
      </c>
      <c r="F98" s="30" t="s">
        <v>219</v>
      </c>
    </row>
    <row r="99" customFormat="false" ht="15" hidden="false" customHeight="false" outlineLevel="0" collapsed="false">
      <c r="B99" s="0" t="s">
        <v>237</v>
      </c>
      <c r="C99" s="29" t="n">
        <v>300</v>
      </c>
      <c r="D99" s="28" t="n">
        <v>1</v>
      </c>
      <c r="E99" s="28" t="n">
        <v>1</v>
      </c>
      <c r="F99" s="30" t="s">
        <v>219</v>
      </c>
    </row>
    <row r="100" customFormat="false" ht="15" hidden="false" customHeight="false" outlineLevel="0" collapsed="false">
      <c r="B100" s="0" t="s">
        <v>238</v>
      </c>
      <c r="C100" s="29" t="n">
        <v>40</v>
      </c>
      <c r="D100" s="28" t="n">
        <v>1</v>
      </c>
      <c r="E100" s="28" t="n">
        <v>1</v>
      </c>
      <c r="F100" s="30" t="s">
        <v>219</v>
      </c>
    </row>
    <row r="101" customFormat="false" ht="15" hidden="false" customHeight="false" outlineLevel="0" collapsed="false">
      <c r="B101" s="0" t="s">
        <v>239</v>
      </c>
      <c r="C101" s="29" t="n">
        <v>172</v>
      </c>
      <c r="D101" s="28" t="n">
        <v>1</v>
      </c>
      <c r="E101" s="28" t="n">
        <v>0</v>
      </c>
      <c r="F101" s="30" t="s">
        <v>122</v>
      </c>
    </row>
    <row r="102" customFormat="false" ht="15" hidden="false" customHeight="false" outlineLevel="0" collapsed="false">
      <c r="B102" s="0" t="s">
        <v>240</v>
      </c>
      <c r="C102" s="29" t="n">
        <v>207</v>
      </c>
      <c r="D102" s="28" t="n">
        <v>0</v>
      </c>
      <c r="E102" s="28" t="n">
        <v>1</v>
      </c>
      <c r="F102" s="30" t="s">
        <v>122</v>
      </c>
    </row>
    <row r="103" customFormat="false" ht="15" hidden="false" customHeight="false" outlineLevel="0" collapsed="false">
      <c r="B103" s="0" t="s">
        <v>241</v>
      </c>
      <c r="C103" s="29" t="n">
        <f aca="false">120+55+65</f>
        <v>240</v>
      </c>
      <c r="D103" s="28" t="n">
        <v>1</v>
      </c>
      <c r="E103" s="28" t="n">
        <v>1</v>
      </c>
      <c r="F103" s="30" t="s">
        <v>122</v>
      </c>
    </row>
    <row r="104" customFormat="false" ht="15" hidden="false" customHeight="false" outlineLevel="0" collapsed="false">
      <c r="B104" s="0" t="s">
        <v>242</v>
      </c>
      <c r="C104" s="29" t="n">
        <f aca="false">50+40</f>
        <v>90</v>
      </c>
      <c r="D104" s="28" t="n">
        <v>1</v>
      </c>
      <c r="E104" s="28" t="n">
        <v>1</v>
      </c>
      <c r="F104" s="30" t="s">
        <v>243</v>
      </c>
    </row>
    <row r="105" customFormat="false" ht="15" hidden="false" customHeight="false" outlineLevel="0" collapsed="false">
      <c r="B105" s="0" t="s">
        <v>244</v>
      </c>
      <c r="C105" s="29" t="n">
        <f aca="false">14+9+25+5+9+30</f>
        <v>92</v>
      </c>
      <c r="D105" s="28" t="n">
        <v>1</v>
      </c>
      <c r="E105" s="28" t="n">
        <v>0</v>
      </c>
      <c r="F105" s="30" t="s">
        <v>243</v>
      </c>
    </row>
    <row r="106" customFormat="false" ht="15" hidden="false" customHeight="false" outlineLevel="0" collapsed="false">
      <c r="B106" s="0" t="s">
        <v>245</v>
      </c>
      <c r="C106" s="29" t="n">
        <f aca="false">14+18+25+7+18+30</f>
        <v>112</v>
      </c>
      <c r="D106" s="28" t="n">
        <v>0</v>
      </c>
      <c r="E106" s="28" t="n">
        <v>1</v>
      </c>
      <c r="F106" s="30" t="s">
        <v>243</v>
      </c>
    </row>
    <row r="107" customFormat="false" ht="15" hidden="false" customHeight="false" outlineLevel="0" collapsed="false">
      <c r="B107" s="0" t="s">
        <v>246</v>
      </c>
      <c r="C107" s="29" t="n">
        <f aca="false">70+14+34+32+20</f>
        <v>170</v>
      </c>
      <c r="D107" s="28" t="n">
        <v>1</v>
      </c>
      <c r="E107" s="28" t="n">
        <v>1</v>
      </c>
      <c r="F107" s="30" t="s">
        <v>243</v>
      </c>
    </row>
    <row r="109" customFormat="false" ht="15" hidden="false" customHeight="false" outlineLevel="0" collapsed="false">
      <c r="B109" s="4" t="s">
        <v>247</v>
      </c>
      <c r="C109" s="5"/>
      <c r="D109" s="5"/>
      <c r="E109" s="5"/>
    </row>
    <row r="110" customFormat="false" ht="15" hidden="false" customHeight="false" outlineLevel="0" collapsed="false">
      <c r="B110" s="0" t="s">
        <v>248</v>
      </c>
      <c r="C110" s="24" t="n">
        <v>1600</v>
      </c>
    </row>
    <row r="111" customFormat="false" ht="15" hidden="false" customHeight="false" outlineLevel="0" collapsed="false">
      <c r="B111" s="0" t="s">
        <v>249</v>
      </c>
      <c r="C111" s="24" t="n">
        <v>3300</v>
      </c>
    </row>
    <row r="112" customFormat="false" ht="15" hidden="false" customHeight="false" outlineLevel="0" collapsed="false">
      <c r="B112" s="0" t="s">
        <v>250</v>
      </c>
      <c r="C112" s="24" t="n">
        <v>4500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7" min="3" style="0" width="16"/>
  </cols>
  <sheetData>
    <row r="2" customFormat="false" ht="24" hidden="false" customHeight="true" outlineLevel="0" collapsed="false">
      <c r="B2" s="1" t="s">
        <v>251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4" t="s">
        <v>252</v>
      </c>
      <c r="C4" s="5"/>
    </row>
    <row r="5" customFormat="false" ht="15" hidden="false" customHeight="false" outlineLevel="0" collapsed="false">
      <c r="B5" s="0" t="s">
        <v>253</v>
      </c>
      <c r="C5" s="31" t="n">
        <f aca="false">c_cena_D+IF(in_typ="NK37",c_doplata_NK37,0)</f>
        <v>32500</v>
      </c>
    </row>
    <row r="6" customFormat="false" ht="15" hidden="false" customHeight="false" outlineLevel="0" collapsed="false">
      <c r="B6" s="0" t="s">
        <v>254</v>
      </c>
      <c r="C6" s="31" t="n">
        <f aca="false">c_wsp_S*m_cena_D</f>
        <v>19825</v>
      </c>
    </row>
    <row r="7" customFormat="false" ht="15" hidden="false" customHeight="false" outlineLevel="0" collapsed="false">
      <c r="B7" s="0" t="s">
        <v>255</v>
      </c>
      <c r="C7" s="31" t="n">
        <f aca="false">c_wsp_NP*m_cena_D</f>
        <v>27625</v>
      </c>
    </row>
    <row r="8" customFormat="false" ht="15" hidden="false" customHeight="false" outlineLevel="0" collapsed="false">
      <c r="B8" s="0" t="s">
        <v>256</v>
      </c>
      <c r="C8" s="32" t="n">
        <f aca="false">in_S+in_NP</f>
        <v>0</v>
      </c>
    </row>
    <row r="9" customFormat="false" ht="15" hidden="false" customHeight="false" outlineLevel="0" collapsed="false">
      <c r="B9" s="0" t="s">
        <v>257</v>
      </c>
      <c r="C9" s="32" t="n">
        <f aca="false">in_S+in_D+in_NP</f>
        <v>15</v>
      </c>
    </row>
    <row r="10" customFormat="false" ht="15" hidden="false" customHeight="false" outlineLevel="0" collapsed="false">
      <c r="B10" s="0" t="s">
        <v>258</v>
      </c>
      <c r="C10" s="32" t="n">
        <f aca="false">2*in_S+2*in_NP+4*in_D</f>
        <v>60</v>
      </c>
    </row>
    <row r="11" customFormat="false" ht="15" hidden="false" customHeight="false" outlineLevel="0" collapsed="false">
      <c r="B11" s="0" t="s">
        <v>259</v>
      </c>
      <c r="C11" s="31" t="n">
        <f aca="false">m_cena_S*in_S+c_szer_260*in_szer1_S+c_szer_270*in_szer2_S+SUMPRODUCT(in_gl_S,t_gl_doplata)+c_dl_500*in_dl500_S+CEILING(m_cena_S*c_dl_wsp*10,100)*in_dl540_S+CEILING(m_cena_S*c_dl_wsp*20,100)*in_dl550_S</f>
        <v>0</v>
      </c>
    </row>
    <row r="12" customFormat="false" ht="15" hidden="false" customHeight="false" outlineLevel="0" collapsed="false">
      <c r="B12" s="0" t="s">
        <v>260</v>
      </c>
      <c r="C12" s="31" t="n">
        <f aca="false">m_cena_D*in_D+c_szer_520*in_szer1_D+c_szer_540*in_szer2_D+SUMPRODUCT(in_gl_D,t_gl_doplata)+c_dl_500*in_dl500_D+m_cena_D*c_dl_wsp*10*in_dl540_D+m_cena_D*c_dl_wsp*20*in_dl550_D</f>
        <v>498000</v>
      </c>
    </row>
    <row r="13" customFormat="false" ht="15" hidden="false" customHeight="false" outlineLevel="0" collapsed="false">
      <c r="B13" s="0" t="s">
        <v>261</v>
      </c>
      <c r="C13" s="31" t="n">
        <f aca="false">m_cena_NP*in_NP</f>
        <v>0</v>
      </c>
    </row>
    <row r="14" customFormat="false" ht="15" hidden="false" customHeight="false" outlineLevel="0" collapsed="false">
      <c r="B14" s="0" t="s">
        <v>262</v>
      </c>
      <c r="C14" s="32" t="n">
        <f aca="false">SUMPRODUCT((t_gl_silownik=2000)*(in_gl_S+in_gl_D))</f>
        <v>15</v>
      </c>
    </row>
    <row r="15" customFormat="false" ht="15" hidden="false" customHeight="false" outlineLevel="0" collapsed="false">
      <c r="B15" s="0" t="s">
        <v>263</v>
      </c>
      <c r="C15" s="32" t="n">
        <f aca="false">SUMPRODUCT((t_gl_silownik=2250)*(in_gl_S+in_gl_D))</f>
        <v>0</v>
      </c>
    </row>
    <row r="16" customFormat="false" ht="15" hidden="false" customHeight="false" outlineLevel="0" collapsed="false">
      <c r="B16" s="0" t="s">
        <v>264</v>
      </c>
      <c r="C16" s="32" t="n">
        <f aca="false">in_S+in_D-m_sil_2000-m_sil_2250</f>
        <v>0</v>
      </c>
    </row>
    <row r="17" customFormat="false" ht="15" hidden="false" customHeight="false" outlineLevel="0" collapsed="false">
      <c r="B17" s="0" t="s">
        <v>122</v>
      </c>
      <c r="C17" s="31" t="n">
        <f aca="false">in_agregaty*(c_agregat+c_hydr_drobne+c_olej+c_transp_agregatu)+m_platformy*c_transp_silownikow+2*(c_sil_1700*m_sil_std+c_sil_2000*m_sil_2000+c_sil_2250*m_sil_2250)+in_magistrala*c_magistrala+SUMPRODUCT((t_sk_grupa="Hydraulika")*t_sk_cena*(t_sk_S*m_SN+t_sk_D*in_D))</f>
        <v>69567.4</v>
      </c>
    </row>
    <row r="18" customFormat="false" ht="15" hidden="false" customHeight="false" outlineLevel="0" collapsed="false">
      <c r="B18" s="0" t="s">
        <v>265</v>
      </c>
      <c r="C18" s="31" t="n">
        <f aca="false">in_barierki*c_barierka+in_maskownice*c_maskownica</f>
        <v>21500</v>
      </c>
    </row>
    <row r="19" customFormat="false" ht="15" hidden="false" customHeight="false" outlineLevel="0" collapsed="false">
      <c r="B19" s="0" t="s">
        <v>243</v>
      </c>
      <c r="C19" s="31" t="n">
        <f aca="false">in_agregaty*c_skrzynka_zasil+SUMPRODUCT((t_sk_grupa="Elektryka")*t_sk_cena*(t_sk_S*m_SN+t_sk_D*in_D))</f>
        <v>8580</v>
      </c>
    </row>
    <row r="20" customFormat="false" ht="15" hidden="false" customHeight="false" outlineLevel="0" collapsed="false">
      <c r="B20" s="0" t="s">
        <v>266</v>
      </c>
      <c r="C20" s="31" t="n">
        <f aca="false">in_agregaty*c_admin+SUMPRODUCT((t_sk_grupa="Mechanika")*t_sk_cena*(t_sk_S*m_SN+t_sk_D*in_D))</f>
        <v>51412.2</v>
      </c>
    </row>
    <row r="21" customFormat="false" ht="15" hidden="false" customHeight="false" outlineLevel="0" collapsed="false">
      <c r="B21" s="11" t="s">
        <v>267</v>
      </c>
      <c r="C21" s="33" t="n">
        <f aca="false">m_plat_S+m_plat_D+m_plat_NP+m_hydraulika+m_barierki+m_elektryka+m_mechanika</f>
        <v>649059.6</v>
      </c>
    </row>
    <row r="22" customFormat="false" ht="15" hidden="false" customHeight="false" outlineLevel="0" collapsed="false">
      <c r="B22" s="11" t="s">
        <v>268</v>
      </c>
      <c r="C22" s="33" t="n">
        <f aca="false">m_suma_2000*(1+in_q2500)</f>
        <v>688003.176</v>
      </c>
    </row>
    <row r="23" customFormat="false" ht="15" hidden="false" customHeight="false" outlineLevel="0" collapsed="false">
      <c r="B23" s="0" t="s">
        <v>269</v>
      </c>
      <c r="C23" s="31" t="n">
        <f aca="false">c_mal_S*in_S+c_mal_D*(in_D+in_NP)+c_mal_bar*in_barierki</f>
        <v>208500</v>
      </c>
    </row>
    <row r="24" customFormat="false" ht="15" hidden="false" customHeight="false" outlineLevel="0" collapsed="false">
      <c r="B24" s="0" t="s">
        <v>270</v>
      </c>
      <c r="C24" s="31" t="n">
        <f aca="false">c_slupek22*m_MP</f>
        <v>378000</v>
      </c>
    </row>
    <row r="25" customFormat="false" ht="15" hidden="false" customHeight="false" outlineLevel="0" collapsed="false">
      <c r="B25" s="0" t="s">
        <v>271</v>
      </c>
      <c r="C25" s="34" t="n">
        <f aca="false">ROUNDUP(in_magistrala*c_osd_magistrala+(in_barierki+in_maskownice)*c_osd_barierka,0)</f>
        <v>20</v>
      </c>
    </row>
    <row r="27" customFormat="false" ht="15" hidden="false" customHeight="false" outlineLevel="0" collapsed="false">
      <c r="B27" s="0" t="s">
        <v>272</v>
      </c>
      <c r="C27" s="34" t="n">
        <f aca="false">IF(ISBLANK(in_km_pom),in_km,in_km_pom)</f>
        <v>280</v>
      </c>
    </row>
    <row r="28" customFormat="false" ht="15" hidden="false" customHeight="false" outlineLevel="0" collapsed="false">
      <c r="B28" s="0" t="s">
        <v>273</v>
      </c>
      <c r="C28" s="12" t="n">
        <f aca="false">MAX(1,COUNTIF(in_stawki,"&gt;0"))</f>
        <v>4</v>
      </c>
    </row>
    <row r="29" customFormat="false" ht="15" hidden="false" customHeight="false" outlineLevel="0" collapsed="false">
      <c r="B29" s="0" t="s">
        <v>274</v>
      </c>
      <c r="C29" s="31" t="n">
        <f aca="false">SUM(in_stawki)/e_osoby</f>
        <v>400</v>
      </c>
    </row>
    <row r="30" customFormat="false" ht="15" hidden="false" customHeight="false" outlineLevel="0" collapsed="false">
      <c r="B30" s="0" t="s">
        <v>275</v>
      </c>
      <c r="C30" s="12" t="n">
        <f aca="false">IF(ISBLANK(in_rozl_dni),c_rozl_TIR*in_tir,in_rozl_dni)</f>
        <v>1.5</v>
      </c>
    </row>
    <row r="31" customFormat="false" ht="15" hidden="false" customHeight="false" outlineLevel="0" collapsed="false">
      <c r="B31" s="0" t="s">
        <v>276</v>
      </c>
      <c r="C31" s="35" t="b">
        <f aca="false">in_lok="Kraków"</f>
        <v>0</v>
      </c>
    </row>
    <row r="32" customFormat="false" ht="15" hidden="false" customHeight="false" outlineLevel="0" collapsed="false">
      <c r="B32" s="0" t="s">
        <v>277</v>
      </c>
      <c r="C32" s="12" t="n">
        <f aca="false">(c_pomiary_osoby+c_odbiory_osoby)*IF(C_kmpom&lt;800,(1+0.1*(800-C_kmpom)/100)*C_kmpom*1/500,C_kmpom/800)</f>
        <v>2.5536</v>
      </c>
    </row>
    <row r="34" customFormat="false" ht="15" hidden="false" customHeight="false" outlineLevel="0" collapsed="false">
      <c r="B34" s="4" t="s">
        <v>278</v>
      </c>
      <c r="C34" s="5"/>
      <c r="D34" s="5"/>
      <c r="E34" s="5"/>
      <c r="F34" s="5"/>
      <c r="G34" s="5"/>
    </row>
    <row r="35" customFormat="false" ht="15" hidden="false" customHeight="false" outlineLevel="0" collapsed="false">
      <c r="B35" s="11" t="s">
        <v>72</v>
      </c>
      <c r="D35" s="36" t="s">
        <v>73</v>
      </c>
      <c r="E35" s="36" t="s">
        <v>74</v>
      </c>
      <c r="F35" s="36" t="s">
        <v>75</v>
      </c>
      <c r="G35" s="36" t="s">
        <v>76</v>
      </c>
    </row>
    <row r="36" customFormat="false" ht="15" hidden="false" customHeight="false" outlineLevel="0" collapsed="false">
      <c r="B36" s="0" t="s">
        <v>279</v>
      </c>
      <c r="D36" s="12" t="n">
        <v>0</v>
      </c>
      <c r="E36" s="12" t="n">
        <v>1</v>
      </c>
      <c r="F36" s="12" t="n">
        <v>0</v>
      </c>
      <c r="G36" s="12" t="n">
        <v>1</v>
      </c>
    </row>
    <row r="37" customFormat="false" ht="15" hidden="false" customHeight="false" outlineLevel="0" collapsed="false">
      <c r="B37" s="0" t="s">
        <v>280</v>
      </c>
      <c r="D37" s="12" t="n">
        <v>0</v>
      </c>
      <c r="E37" s="12" t="n">
        <v>0</v>
      </c>
      <c r="F37" s="12" t="n">
        <v>1</v>
      </c>
      <c r="G37" s="12" t="n">
        <v>1</v>
      </c>
    </row>
    <row r="38" customFormat="false" ht="15" hidden="false" customHeight="false" outlineLevel="0" collapsed="false">
      <c r="B38" s="0" t="s">
        <v>281</v>
      </c>
      <c r="D38" s="34" t="n">
        <f aca="false">c_osd_S*in_S+c_osd_D*in_D+c_osd_NP*in_NP+m_tonaz+D37*c_slupek_rbd*m_MP</f>
        <v>125</v>
      </c>
      <c r="E38" s="34" t="n">
        <f aca="false">c_osd_S*in_S+c_osd_D*in_D+c_osd_NP*in_NP+m_tonaz+E37*c_slupek_rbd*m_MP</f>
        <v>125</v>
      </c>
      <c r="F38" s="34" t="n">
        <f aca="false">c_osd_S*in_S+c_osd_D*in_D+c_osd_NP*in_NP+m_tonaz+F37*c_slupek_rbd*m_MP</f>
        <v>147.2</v>
      </c>
      <c r="G38" s="34" t="n">
        <f aca="false">c_osd_S*in_S+c_osd_D*in_D+c_osd_NP*in_NP+m_tonaz+G37*c_slupek_rbd*m_MP</f>
        <v>147.2</v>
      </c>
    </row>
    <row r="39" customFormat="false" ht="15" hidden="false" customHeight="false" outlineLevel="0" collapsed="false">
      <c r="B39" s="0" t="s">
        <v>282</v>
      </c>
      <c r="D39" s="32" t="n">
        <f aca="false">IF(e_krk,CEILING((D38+(e_podr_pom+e_osoby*(e_rozl_dni+IF(in_km&lt;800,(1+0.1*(800-in_km)/100)*in_km*1/500,in_km/800))))/e_osoby,1),CEILING(CEILING((D38+(e_podr_pom+e_osoby*(e_rozl_dni+IF(in_km&lt;800,(1+0.1*(800-in_km)/100)*in_km*1/500,in_km/800))))/e_osoby,1)/c_dni_tydzien,1))</f>
        <v>7</v>
      </c>
      <c r="E39" s="32" t="n">
        <f aca="false">IF(e_krk,CEILING((E38+(e_podr_pom+e_osoby*(e_rozl_dni+IF(in_km&lt;800,(1+0.1*(800-in_km)/100)*in_km*1/500,in_km/800))))/e_osoby,1),CEILING(CEILING((E38+(e_podr_pom+e_osoby*(e_rozl_dni+IF(in_km&lt;800,(1+0.1*(800-in_km)/100)*in_km*1/500,in_km/800))))/e_osoby,1)/c_dni_tydzien,1))</f>
        <v>7</v>
      </c>
      <c r="F39" s="32" t="n">
        <f aca="false">IF(e_krk,CEILING((F38+(e_podr_pom+e_osoby*(e_rozl_dni+IF(in_km&lt;800,(1+0.1*(800-in_km)/100)*in_km*1/500,in_km/800))))/e_osoby,1),CEILING(CEILING((F38+(e_podr_pom+e_osoby*(e_rozl_dni+IF(in_km&lt;800,(1+0.1*(800-in_km)/100)*in_km*1/500,in_km/800))))/e_osoby,1)/c_dni_tydzien,1))</f>
        <v>8</v>
      </c>
      <c r="G39" s="32" t="n">
        <f aca="false">IF(e_krk,CEILING((G38+(e_podr_pom+e_osoby*(e_rozl_dni+IF(in_km&lt;800,(1+0.1*(800-in_km)/100)*in_km*1/500,in_km/800))))/e_osoby,1),CEILING(CEILING((G38+(e_podr_pom+e_osoby*(e_rozl_dni+IF(in_km&lt;800,(1+0.1*(800-in_km)/100)*in_km*1/500,in_km/800))))/e_osoby,1)/c_dni_tydzien,1))</f>
        <v>8</v>
      </c>
    </row>
    <row r="40" customFormat="false" ht="15" hidden="false" customHeight="false" outlineLevel="0" collapsed="false">
      <c r="B40" s="0" t="s">
        <v>283</v>
      </c>
      <c r="D40" s="32" t="n">
        <f aca="false">IF(e_krk,CEILING((D38+(e_podr_pom+e_osoby*(e_rozl_dni+IF(in_km&lt;800,(1+0.1*(800-in_km)/100)*in_km*D39/500,in_km/800))))/e_osoby,1),CEILING(CEILING((D38+(e_podr_pom+e_osoby*(e_rozl_dni+IF(in_km&lt;800,(1+0.1*(800-in_km)/100)*in_km*D39/500,in_km/800))))/e_osoby,1)/c_dni_tydzien,1))</f>
        <v>9</v>
      </c>
      <c r="E40" s="32" t="n">
        <f aca="false">IF(e_krk,CEILING((E38+(e_podr_pom+e_osoby*(e_rozl_dni+IF(in_km&lt;800,(1+0.1*(800-in_km)/100)*in_km*E39/500,in_km/800))))/e_osoby,1),CEILING(CEILING((E38+(e_podr_pom+e_osoby*(e_rozl_dni+IF(in_km&lt;800,(1+0.1*(800-in_km)/100)*in_km*E39/500,in_km/800))))/e_osoby,1)/c_dni_tydzien,1))</f>
        <v>9</v>
      </c>
      <c r="F40" s="32" t="n">
        <f aca="false">IF(e_krk,CEILING((F38+(e_podr_pom+e_osoby*(e_rozl_dni+IF(in_km&lt;800,(1+0.1*(800-in_km)/100)*in_km*F39/500,in_km/800))))/e_osoby,1),CEILING(CEILING((F38+(e_podr_pom+e_osoby*(e_rozl_dni+IF(in_km&lt;800,(1+0.1*(800-in_km)/100)*in_km*F39/500,in_km/800))))/e_osoby,1)/c_dni_tydzien,1))</f>
        <v>10</v>
      </c>
      <c r="G40" s="32" t="n">
        <f aca="false">IF(e_krk,CEILING((G38+(e_podr_pom+e_osoby*(e_rozl_dni+IF(in_km&lt;800,(1+0.1*(800-in_km)/100)*in_km*G39/500,in_km/800))))/e_osoby,1),CEILING(CEILING((G38+(e_podr_pom+e_osoby*(e_rozl_dni+IF(in_km&lt;800,(1+0.1*(800-in_km)/100)*in_km*G39/500,in_km/800))))/e_osoby,1)/c_dni_tydzien,1))</f>
        <v>10</v>
      </c>
    </row>
    <row r="41" customFormat="false" ht="15" hidden="false" customHeight="false" outlineLevel="0" collapsed="false">
      <c r="B41" s="0" t="s">
        <v>284</v>
      </c>
      <c r="D41" s="32" t="n">
        <f aca="false">IF(e_krk,CEILING((D38+(e_podr_pom+e_osoby*(e_rozl_dni+IF(in_km&lt;800,(1+0.1*(800-in_km)/100)*in_km*D40/500,in_km/800))))/e_osoby,1),CEILING(CEILING((D38+(e_podr_pom+e_osoby*(e_rozl_dni+IF(in_km&lt;800,(1+0.1*(800-in_km)/100)*in_km*D40/500,in_km/800))))/e_osoby,1)/c_dni_tydzien,1))</f>
        <v>9</v>
      </c>
      <c r="E41" s="32" t="n">
        <f aca="false">IF(e_krk,CEILING((E38+(e_podr_pom+e_osoby*(e_rozl_dni+IF(in_km&lt;800,(1+0.1*(800-in_km)/100)*in_km*E40/500,in_km/800))))/e_osoby,1),CEILING(CEILING((E38+(e_podr_pom+e_osoby*(e_rozl_dni+IF(in_km&lt;800,(1+0.1*(800-in_km)/100)*in_km*E40/500,in_km/800))))/e_osoby,1)/c_dni_tydzien,1))</f>
        <v>9</v>
      </c>
      <c r="F41" s="32" t="n">
        <f aca="false">IF(e_krk,CEILING((F38+(e_podr_pom+e_osoby*(e_rozl_dni+IF(in_km&lt;800,(1+0.1*(800-in_km)/100)*in_km*F40/500,in_km/800))))/e_osoby,1),CEILING(CEILING((F38+(e_podr_pom+e_osoby*(e_rozl_dni+IF(in_km&lt;800,(1+0.1*(800-in_km)/100)*in_km*F40/500,in_km/800))))/e_osoby,1)/c_dni_tydzien,1))</f>
        <v>10</v>
      </c>
      <c r="G41" s="32" t="n">
        <f aca="false">IF(e_krk,CEILING((G38+(e_podr_pom+e_osoby*(e_rozl_dni+IF(in_km&lt;800,(1+0.1*(800-in_km)/100)*in_km*G40/500,in_km/800))))/e_osoby,1),CEILING(CEILING((G38+(e_podr_pom+e_osoby*(e_rozl_dni+IF(in_km&lt;800,(1+0.1*(800-in_km)/100)*in_km*G40/500,in_km/800))))/e_osoby,1)/c_dni_tydzien,1))</f>
        <v>10</v>
      </c>
    </row>
    <row r="42" customFormat="false" ht="15" hidden="false" customHeight="false" outlineLevel="0" collapsed="false">
      <c r="B42" s="0" t="s">
        <v>285</v>
      </c>
      <c r="D42" s="32" t="n">
        <f aca="false">IF(e_krk,CEILING((D38+(e_podr_pom+e_osoby*(e_rozl_dni+IF(in_km&lt;800,(1+0.1*(800-in_km)/100)*in_km*D41/500,in_km/800))))/e_osoby,1),CEILING(CEILING((D38+(e_podr_pom+e_osoby*(e_rozl_dni+IF(in_km&lt;800,(1+0.1*(800-in_km)/100)*in_km*D41/500,in_km/800))))/e_osoby,1)/c_dni_tydzien,1))</f>
        <v>9</v>
      </c>
      <c r="E42" s="32" t="n">
        <f aca="false">IF(e_krk,CEILING((E38+(e_podr_pom+e_osoby*(e_rozl_dni+IF(in_km&lt;800,(1+0.1*(800-in_km)/100)*in_km*E41/500,in_km/800))))/e_osoby,1),CEILING(CEILING((E38+(e_podr_pom+e_osoby*(e_rozl_dni+IF(in_km&lt;800,(1+0.1*(800-in_km)/100)*in_km*E41/500,in_km/800))))/e_osoby,1)/c_dni_tydzien,1))</f>
        <v>9</v>
      </c>
      <c r="F42" s="32" t="n">
        <f aca="false">IF(e_krk,CEILING((F38+(e_podr_pom+e_osoby*(e_rozl_dni+IF(in_km&lt;800,(1+0.1*(800-in_km)/100)*in_km*F41/500,in_km/800))))/e_osoby,1),CEILING(CEILING((F38+(e_podr_pom+e_osoby*(e_rozl_dni+IF(in_km&lt;800,(1+0.1*(800-in_km)/100)*in_km*F41/500,in_km/800))))/e_osoby,1)/c_dni_tydzien,1))</f>
        <v>10</v>
      </c>
      <c r="G42" s="32" t="n">
        <f aca="false">IF(e_krk,CEILING((G38+(e_podr_pom+e_osoby*(e_rozl_dni+IF(in_km&lt;800,(1+0.1*(800-in_km)/100)*in_km*G41/500,in_km/800))))/e_osoby,1),CEILING(CEILING((G38+(e_podr_pom+e_osoby*(e_rozl_dni+IF(in_km&lt;800,(1+0.1*(800-in_km)/100)*in_km*G41/500,in_km/800))))/e_osoby,1)/c_dni_tydzien,1))</f>
        <v>10</v>
      </c>
    </row>
    <row r="43" customFormat="false" ht="15" hidden="false" customHeight="false" outlineLevel="0" collapsed="false">
      <c r="B43" s="0" t="s">
        <v>286</v>
      </c>
      <c r="D43" s="32" t="n">
        <f aca="false">IF(e_krk,CEILING((D38+(e_podr_pom+e_osoby*(e_rozl_dni+IF(in_km&lt;800,(1+0.1*(800-in_km)/100)*in_km*D42/500,in_km/800))))/e_osoby,1),CEILING(CEILING((D38+(e_podr_pom+e_osoby*(e_rozl_dni+IF(in_km&lt;800,(1+0.1*(800-in_km)/100)*in_km*D42/500,in_km/800))))/e_osoby,1)/c_dni_tydzien,1))</f>
        <v>9</v>
      </c>
      <c r="E43" s="32" t="n">
        <f aca="false">IF(e_krk,CEILING((E38+(e_podr_pom+e_osoby*(e_rozl_dni+IF(in_km&lt;800,(1+0.1*(800-in_km)/100)*in_km*E42/500,in_km/800))))/e_osoby,1),CEILING(CEILING((E38+(e_podr_pom+e_osoby*(e_rozl_dni+IF(in_km&lt;800,(1+0.1*(800-in_km)/100)*in_km*E42/500,in_km/800))))/e_osoby,1)/c_dni_tydzien,1))</f>
        <v>9</v>
      </c>
      <c r="F43" s="32" t="n">
        <f aca="false">IF(e_krk,CEILING((F38+(e_podr_pom+e_osoby*(e_rozl_dni+IF(in_km&lt;800,(1+0.1*(800-in_km)/100)*in_km*F42/500,in_km/800))))/e_osoby,1),CEILING(CEILING((F38+(e_podr_pom+e_osoby*(e_rozl_dni+IF(in_km&lt;800,(1+0.1*(800-in_km)/100)*in_km*F42/500,in_km/800))))/e_osoby,1)/c_dni_tydzien,1))</f>
        <v>10</v>
      </c>
      <c r="G43" s="32" t="n">
        <f aca="false">IF(e_krk,CEILING((G38+(e_podr_pom+e_osoby*(e_rozl_dni+IF(in_km&lt;800,(1+0.1*(800-in_km)/100)*in_km*G42/500,in_km/800))))/e_osoby,1),CEILING(CEILING((G38+(e_podr_pom+e_osoby*(e_rozl_dni+IF(in_km&lt;800,(1+0.1*(800-in_km)/100)*in_km*G42/500,in_km/800))))/e_osoby,1)/c_dni_tydzien,1))</f>
        <v>10</v>
      </c>
    </row>
    <row r="44" customFormat="false" ht="15" hidden="false" customHeight="false" outlineLevel="0" collapsed="false">
      <c r="B44" s="11" t="s">
        <v>287</v>
      </c>
      <c r="D44" s="37" t="n">
        <f aca="false">IF(ISBLANK(in_wyjazdy),D43,in_wyjazdy)</f>
        <v>9</v>
      </c>
      <c r="E44" s="37" t="n">
        <f aca="false">IF(ISBLANK(in_wyjazdy),E43,in_wyjazdy)</f>
        <v>9</v>
      </c>
      <c r="F44" s="37" t="n">
        <f aca="false">IF(ISBLANK(in_wyjazdy),F43,in_wyjazdy)</f>
        <v>10</v>
      </c>
      <c r="G44" s="37" t="n">
        <f aca="false">IF(ISBLANK(in_wyjazdy),G43,in_wyjazdy)</f>
        <v>10</v>
      </c>
    </row>
    <row r="45" customFormat="false" ht="15" hidden="false" customHeight="false" outlineLevel="0" collapsed="false">
      <c r="B45" s="0" t="s">
        <v>288</v>
      </c>
      <c r="D45" s="34" t="n">
        <f aca="false">(e_podr_pom+e_osoby*(e_rozl_dni+IF(in_km&lt;800,(1+0.1*(800-in_km)/100)*in_km*D44/500,in_km/800)))</f>
        <v>43.4808</v>
      </c>
      <c r="E45" s="34" t="n">
        <f aca="false">(e_podr_pom+e_osoby*(e_rozl_dni+IF(in_km&lt;800,(1+0.1*(800-in_km)/100)*in_km*E44/500,in_km/800)))</f>
        <v>43.4808</v>
      </c>
      <c r="F45" s="34" t="n">
        <f aca="false">(e_podr_pom+e_osoby*(e_rozl_dni+IF(in_km&lt;800,(1+0.1*(800-in_km)/100)*in_km*F44/500,in_km/800)))</f>
        <v>47.3616</v>
      </c>
      <c r="G45" s="34" t="n">
        <f aca="false">(e_podr_pom+e_osoby*(e_rozl_dni+IF(in_km&lt;800,(1+0.1*(800-in_km)/100)*in_km*G44/500,in_km/800)))</f>
        <v>47.3616</v>
      </c>
    </row>
    <row r="46" customFormat="false" ht="15" hidden="false" customHeight="false" outlineLevel="0" collapsed="false">
      <c r="B46" s="0" t="s">
        <v>289</v>
      </c>
      <c r="D46" s="34" t="n">
        <f aca="false">D38+D45</f>
        <v>168.4808</v>
      </c>
      <c r="E46" s="34" t="n">
        <f aca="false">E38+E45</f>
        <v>168.4808</v>
      </c>
      <c r="F46" s="34" t="n">
        <f aca="false">F38+F45</f>
        <v>194.5616</v>
      </c>
      <c r="G46" s="34" t="n">
        <f aca="false">G38+G45</f>
        <v>194.5616</v>
      </c>
    </row>
    <row r="47" customFormat="false" ht="15" hidden="false" customHeight="false" outlineLevel="0" collapsed="false">
      <c r="B47" s="11" t="s">
        <v>290</v>
      </c>
      <c r="D47" s="37" t="n">
        <f aca="false">CEILING(D46/e_osoby,1)</f>
        <v>43</v>
      </c>
      <c r="E47" s="37" t="n">
        <f aca="false">CEILING(E46/e_osoby,1)</f>
        <v>43</v>
      </c>
      <c r="F47" s="37" t="n">
        <f aca="false">CEILING(F46/e_osoby,1)</f>
        <v>49</v>
      </c>
      <c r="G47" s="37" t="n">
        <f aca="false">CEILING(G46/e_osoby,1)</f>
        <v>49</v>
      </c>
    </row>
    <row r="48" customFormat="false" ht="15" hidden="false" customHeight="false" outlineLevel="0" collapsed="false">
      <c r="B48" s="0" t="s">
        <v>291</v>
      </c>
      <c r="D48" s="34" t="n">
        <f aca="false">2*(in_km*D44+2*C_kmpom)</f>
        <v>7060</v>
      </c>
      <c r="E48" s="34" t="n">
        <f aca="false">2*(in_km*E44+2*C_kmpom)</f>
        <v>7060</v>
      </c>
      <c r="F48" s="34" t="n">
        <f aca="false">2*(in_km*F44+2*C_kmpom)</f>
        <v>7720</v>
      </c>
      <c r="G48" s="34" t="n">
        <f aca="false">2*(in_km*G44+2*C_kmpom)</f>
        <v>7720</v>
      </c>
    </row>
    <row r="49" customFormat="false" ht="15" hidden="false" customHeight="false" outlineLevel="0" collapsed="false">
      <c r="B49" s="0" t="s">
        <v>83</v>
      </c>
      <c r="D49" s="31" t="n">
        <f aca="false">IF(D36=1,m_suma_2500,m_suma_2000)</f>
        <v>649059.6</v>
      </c>
      <c r="E49" s="31" t="n">
        <f aca="false">IF(E36=1,m_suma_2500,m_suma_2000)</f>
        <v>688003.176</v>
      </c>
      <c r="F49" s="31" t="n">
        <f aca="false">IF(F36=1,m_suma_2500,m_suma_2000)</f>
        <v>649059.6</v>
      </c>
      <c r="G49" s="31" t="n">
        <f aca="false">IF(G36=1,m_suma_2500,m_suma_2000)</f>
        <v>688003.176</v>
      </c>
    </row>
    <row r="50" customFormat="false" ht="15" hidden="false" customHeight="false" outlineLevel="0" collapsed="false">
      <c r="B50" s="0" t="s">
        <v>84</v>
      </c>
      <c r="D50" s="31" t="n">
        <f aca="false">D37*c_slupek*m_MP</f>
        <v>0</v>
      </c>
      <c r="E50" s="31" t="n">
        <f aca="false">E37*c_slupek*m_MP</f>
        <v>0</v>
      </c>
      <c r="F50" s="31" t="n">
        <f aca="false">F37*c_slupek*m_MP</f>
        <v>102000</v>
      </c>
      <c r="G50" s="31" t="n">
        <f aca="false">G37*c_slupek*m_MP</f>
        <v>102000</v>
      </c>
    </row>
    <row r="51" customFormat="false" ht="15" hidden="false" customHeight="false" outlineLevel="0" collapsed="false">
      <c r="B51" s="0" t="s">
        <v>292</v>
      </c>
      <c r="D51" s="31" t="n">
        <f aca="false">D48/100*ROUNDUP(c_spalanie*c_paliwo,0)</f>
        <v>7977.8</v>
      </c>
      <c r="E51" s="31" t="n">
        <f aca="false">E48/100*ROUNDUP(c_spalanie*c_paliwo,0)</f>
        <v>7977.8</v>
      </c>
      <c r="F51" s="31" t="n">
        <f aca="false">F48/100*ROUNDUP(c_spalanie*c_paliwo,0)</f>
        <v>8723.6</v>
      </c>
      <c r="G51" s="31" t="n">
        <f aca="false">G48/100*ROUNDUP(c_spalanie*c_paliwo,0)</f>
        <v>8723.6</v>
      </c>
    </row>
    <row r="52" customFormat="false" ht="15" hidden="false" customHeight="false" outlineLevel="0" collapsed="false">
      <c r="B52" s="0" t="s">
        <v>293</v>
      </c>
      <c r="D52" s="31" t="n">
        <f aca="false">IF(e_krk,0,c_hotel*(CEILING(D46/e_osoby,1)+1)*e_osoby)</f>
        <v>22880</v>
      </c>
      <c r="E52" s="31" t="n">
        <f aca="false">IF(e_krk,0,c_hotel*(CEILING(E46/e_osoby,1)+1)*e_osoby)</f>
        <v>22880</v>
      </c>
      <c r="F52" s="31" t="n">
        <f aca="false">IF(e_krk,0,c_hotel*(CEILING(F46/e_osoby,1)+1)*e_osoby)</f>
        <v>26000</v>
      </c>
      <c r="G52" s="31" t="n">
        <f aca="false">IF(e_krk,0,c_hotel*(CEILING(G46/e_osoby,1)+1)*e_osoby)</f>
        <v>26000</v>
      </c>
    </row>
    <row r="53" customFormat="false" ht="15" hidden="false" customHeight="false" outlineLevel="0" collapsed="false">
      <c r="B53" s="0" t="s">
        <v>294</v>
      </c>
      <c r="D53" s="31" t="n">
        <f aca="false">in_tir_cena*in_tir</f>
        <v>12000</v>
      </c>
      <c r="E53" s="31" t="n">
        <f aca="false">in_tir_cena*in_tir</f>
        <v>12000</v>
      </c>
      <c r="F53" s="31" t="n">
        <f aca="false">in_tir_cena*in_tir</f>
        <v>12000</v>
      </c>
      <c r="G53" s="31" t="n">
        <f aca="false">in_tir_cena*in_tir</f>
        <v>12000</v>
      </c>
    </row>
    <row r="54" customFormat="false" ht="15" hidden="false" customHeight="false" outlineLevel="0" collapsed="false">
      <c r="B54" s="0" t="s">
        <v>295</v>
      </c>
      <c r="D54" s="32" t="n">
        <f aca="false">ROUNDUP(in_D/c_dzwig_D+(in_S+in_NP)*c_dzwig_wspS/c_dzwig_D,0)</f>
        <v>3</v>
      </c>
      <c r="E54" s="32" t="n">
        <f aca="false">ROUNDUP(in_D/c_dzwig_D+(in_S+in_NP)*c_dzwig_wspS/c_dzwig_D,0)</f>
        <v>3</v>
      </c>
      <c r="F54" s="32" t="n">
        <f aca="false">ROUNDUP(in_D/c_dzwig_D+(in_S+in_NP)*c_dzwig_wspS/c_dzwig_D,0)</f>
        <v>3</v>
      </c>
      <c r="G54" s="32" t="n">
        <f aca="false">ROUNDUP(in_D/c_dzwig_D+(in_S+in_NP)*c_dzwig_wspS/c_dzwig_D,0)</f>
        <v>3</v>
      </c>
    </row>
    <row r="55" customFormat="false" ht="15" hidden="false" customHeight="false" outlineLevel="0" collapsed="false">
      <c r="B55" s="0" t="s">
        <v>296</v>
      </c>
      <c r="D55" s="31" t="n">
        <f aca="false">c_dzwig*D54</f>
        <v>7200</v>
      </c>
      <c r="E55" s="31" t="n">
        <f aca="false">c_dzwig*E54</f>
        <v>7200</v>
      </c>
      <c r="F55" s="31" t="n">
        <f aca="false">c_dzwig*F54</f>
        <v>7200</v>
      </c>
      <c r="G55" s="31" t="n">
        <f aca="false">c_dzwig*G54</f>
        <v>7200</v>
      </c>
    </row>
    <row r="56" customFormat="false" ht="15" hidden="false" customHeight="false" outlineLevel="0" collapsed="false">
      <c r="B56" s="0" t="s">
        <v>297</v>
      </c>
      <c r="D56" s="31" t="n">
        <f aca="false">in_rozl_cena*in_tir</f>
        <v>5100</v>
      </c>
      <c r="E56" s="31" t="n">
        <f aca="false">in_rozl_cena*in_tir</f>
        <v>5100</v>
      </c>
      <c r="F56" s="31" t="n">
        <f aca="false">in_rozl_cena*in_tir</f>
        <v>5100</v>
      </c>
      <c r="G56" s="31" t="n">
        <f aca="false">in_rozl_cena*in_tir</f>
        <v>5100</v>
      </c>
    </row>
    <row r="57" customFormat="false" ht="15" hidden="false" customHeight="false" outlineLevel="0" collapsed="false">
      <c r="B57" s="0" t="s">
        <v>298</v>
      </c>
      <c r="D57" s="31" t="n">
        <f aca="false">e_stawka*e_rozl_dni*e_osoby</f>
        <v>2400</v>
      </c>
      <c r="E57" s="31" t="n">
        <f aca="false">e_stawka*e_rozl_dni*e_osoby</f>
        <v>2400</v>
      </c>
      <c r="F57" s="31" t="n">
        <f aca="false">e_stawka*e_rozl_dni*e_osoby</f>
        <v>2400</v>
      </c>
      <c r="G57" s="31" t="n">
        <f aca="false">e_stawka*e_rozl_dni*e_osoby</f>
        <v>2400</v>
      </c>
    </row>
    <row r="58" customFormat="false" ht="15" hidden="false" customHeight="false" outlineLevel="0" collapsed="false">
      <c r="B58" s="0" t="s">
        <v>299</v>
      </c>
      <c r="D58" s="31" t="n">
        <f aca="false">e_stawka*(D45-e_osoby*e_rozl_dni)</f>
        <v>14992.32</v>
      </c>
      <c r="E58" s="31" t="n">
        <f aca="false">e_stawka*(E45-e_osoby*e_rozl_dni)</f>
        <v>14992.32</v>
      </c>
      <c r="F58" s="31" t="n">
        <f aca="false">e_stawka*(F45-e_osoby*e_rozl_dni)</f>
        <v>16544.64</v>
      </c>
      <c r="G58" s="31" t="n">
        <f aca="false">e_stawka*(G45-e_osoby*e_rozl_dni)</f>
        <v>16544.64</v>
      </c>
    </row>
    <row r="59" customFormat="false" ht="15" hidden="false" customHeight="false" outlineLevel="0" collapsed="false">
      <c r="B59" s="0" t="s">
        <v>300</v>
      </c>
      <c r="D59" s="31" t="n">
        <f aca="false">IF(D44&gt;0,e_stawka*D38,0)</f>
        <v>50000</v>
      </c>
      <c r="E59" s="31" t="n">
        <f aca="false">IF(E44&gt;0,e_stawka*E38,0)</f>
        <v>50000</v>
      </c>
      <c r="F59" s="31" t="n">
        <f aca="false">IF(F44&gt;0,e_stawka*F38,0)</f>
        <v>58880</v>
      </c>
      <c r="G59" s="31" t="n">
        <f aca="false">IF(G44&gt;0,e_stawka*G38,0)</f>
        <v>58880</v>
      </c>
    </row>
    <row r="60" customFormat="false" ht="15" hidden="false" customHeight="false" outlineLevel="0" collapsed="false">
      <c r="B60" s="0" t="s">
        <v>301</v>
      </c>
      <c r="D60" s="31" t="n">
        <f aca="false">IF(e_krk,0,c_dieta*D46)</f>
        <v>7581.636</v>
      </c>
      <c r="E60" s="31" t="n">
        <f aca="false">IF(e_krk,0,c_dieta*E46)</f>
        <v>7581.636</v>
      </c>
      <c r="F60" s="31" t="n">
        <f aca="false">IF(e_krk,0,c_dieta*F46)</f>
        <v>8755.272</v>
      </c>
      <c r="G60" s="31" t="n">
        <f aca="false">IF(e_krk,0,c_dieta*G46)</f>
        <v>8755.272</v>
      </c>
    </row>
    <row r="61" customFormat="false" ht="15" hidden="false" customHeight="false" outlineLevel="0" collapsed="false">
      <c r="B61" s="11" t="s">
        <v>302</v>
      </c>
      <c r="D61" s="33" t="n">
        <f aca="false">SUM(D49:D60)-D54</f>
        <v>779191.356</v>
      </c>
      <c r="E61" s="33" t="n">
        <f aca="false">SUM(E49:E60)-E54</f>
        <v>818134.932</v>
      </c>
      <c r="F61" s="33" t="n">
        <f aca="false">SUM(F49:F60)-F54</f>
        <v>896663.112</v>
      </c>
      <c r="G61" s="33" t="n">
        <f aca="false">SUM(G49:G60)-G54</f>
        <v>935606.688</v>
      </c>
    </row>
    <row r="62" customFormat="false" ht="15" hidden="false" customHeight="false" outlineLevel="0" collapsed="false">
      <c r="B62" s="0" t="s">
        <v>303</v>
      </c>
      <c r="D62" s="31" t="n">
        <f aca="false">D61/(1-(c_kob+c_gdw+in_zysk))</f>
        <v>922119.947928994</v>
      </c>
      <c r="E62" s="31" t="n">
        <f aca="false">E61/(1-(c_kob+c_gdw+in_zysk))</f>
        <v>968207.020118343</v>
      </c>
      <c r="F62" s="31" t="n">
        <f aca="false">F61/(1-(c_kob+c_gdw+in_zysk))</f>
        <v>1061139.77751479</v>
      </c>
      <c r="G62" s="31" t="n">
        <f aca="false">G61/(1-(c_kob+c_gdw+in_zysk))</f>
        <v>1107226.84970414</v>
      </c>
    </row>
    <row r="63" customFormat="false" ht="15" hidden="false" customHeight="false" outlineLevel="0" collapsed="false">
      <c r="B63" s="0" t="s">
        <v>304</v>
      </c>
      <c r="D63" s="31" t="n">
        <f aca="false">D62*c_kob</f>
        <v>4610.59973964497</v>
      </c>
      <c r="E63" s="31" t="n">
        <f aca="false">E62*c_kob</f>
        <v>4841.03510059172</v>
      </c>
      <c r="F63" s="31" t="n">
        <f aca="false">F62*c_kob</f>
        <v>5305.69888757397</v>
      </c>
      <c r="G63" s="31" t="n">
        <f aca="false">G62*c_kob</f>
        <v>5536.13424852071</v>
      </c>
    </row>
    <row r="64" customFormat="false" ht="15" hidden="false" customHeight="false" outlineLevel="0" collapsed="false">
      <c r="B64" s="0" t="s">
        <v>305</v>
      </c>
      <c r="D64" s="31" t="n">
        <f aca="false">D62*c_gdw</f>
        <v>23052.9986982249</v>
      </c>
      <c r="E64" s="31" t="n">
        <f aca="false">E62*c_gdw</f>
        <v>24205.1755029586</v>
      </c>
      <c r="F64" s="31" t="n">
        <f aca="false">F62*c_gdw</f>
        <v>26528.4944378698</v>
      </c>
      <c r="G64" s="31" t="n">
        <f aca="false">G62*c_gdw</f>
        <v>27680.6712426036</v>
      </c>
    </row>
    <row r="65" customFormat="false" ht="15" hidden="false" customHeight="false" outlineLevel="0" collapsed="false">
      <c r="B65" s="0" t="s">
        <v>81</v>
      </c>
      <c r="D65" s="31" t="n">
        <f aca="false">D62*in_zysk</f>
        <v>115264.993491124</v>
      </c>
      <c r="E65" s="31" t="n">
        <f aca="false">E62*in_zysk</f>
        <v>121025.877514793</v>
      </c>
      <c r="F65" s="31" t="n">
        <f aca="false">F62*in_zysk</f>
        <v>132642.472189349</v>
      </c>
      <c r="G65" s="31" t="n">
        <f aca="false">G62*in_zysk</f>
        <v>138403.356213018</v>
      </c>
    </row>
    <row r="66" customFormat="false" ht="15" hidden="false" customHeight="false" outlineLevel="0" collapsed="false">
      <c r="B66" s="0" t="s">
        <v>306</v>
      </c>
      <c r="D66" s="31" t="n">
        <f aca="false">c_podatek*(D57+D58+D59+D60+D64+D65)</f>
        <v>29860.8727465089</v>
      </c>
      <c r="E66" s="31" t="n">
        <f aca="false">c_podatek*(E57+E58+E59+E60+E64+E65)</f>
        <v>30828.7012624852</v>
      </c>
      <c r="F66" s="31" t="n">
        <f aca="false">c_podatek*(F57+F58+F59+F60+F64+F65)</f>
        <v>34405.1230078107</v>
      </c>
      <c r="G66" s="31" t="n">
        <f aca="false">c_podatek*(G57+G58+G59+G60+G64+G65)</f>
        <v>35372.951523787</v>
      </c>
    </row>
    <row r="67" customFormat="false" ht="15" hidden="false" customHeight="false" outlineLevel="0" collapsed="false">
      <c r="B67" s="11" t="s">
        <v>307</v>
      </c>
      <c r="D67" s="33" t="n">
        <f aca="false">D61+D63+D64+D65+D66</f>
        <v>951980.820675503</v>
      </c>
      <c r="E67" s="33" t="n">
        <f aca="false">E61+E63+E64+E65+E66</f>
        <v>999035.721380829</v>
      </c>
      <c r="F67" s="33" t="n">
        <f aca="false">F61+F63+F64+F65+F66</f>
        <v>1095544.9005226</v>
      </c>
      <c r="G67" s="33" t="n">
        <f aca="false">G61+G63+G64+G65+G66</f>
        <v>1142599.80122793</v>
      </c>
    </row>
    <row r="68" customFormat="false" ht="15" hidden="false" customHeight="false" outlineLevel="0" collapsed="false">
      <c r="B68" s="0" t="s">
        <v>308</v>
      </c>
      <c r="D68" s="31" t="n">
        <f aca="false">D67-D65</f>
        <v>836715.827184379</v>
      </c>
      <c r="E68" s="31" t="n">
        <f aca="false">E67-E65</f>
        <v>878009.843866036</v>
      </c>
      <c r="F68" s="31" t="n">
        <f aca="false">F67-F65</f>
        <v>962902.428333255</v>
      </c>
      <c r="G68" s="31" t="n">
        <f aca="false">G67-G65</f>
        <v>1004196.44501491</v>
      </c>
    </row>
    <row r="69" customFormat="false" ht="15" hidden="false" customHeight="false" outlineLevel="0" collapsed="false">
      <c r="B69" s="0" t="s">
        <v>309</v>
      </c>
      <c r="D69" s="31" t="n">
        <f aca="false">IF(m_MP&gt;0,D67/m_MP,0)</f>
        <v>15866.3470112584</v>
      </c>
      <c r="E69" s="31" t="n">
        <f aca="false">IF(m_MP&gt;0,E67/m_MP,0)</f>
        <v>16650.5953563471</v>
      </c>
      <c r="F69" s="31" t="n">
        <f aca="false">IF(m_MP&gt;0,F67/m_MP,0)</f>
        <v>18259.0816753767</v>
      </c>
      <c r="G69" s="31" t="n">
        <f aca="false">IF(m_MP&gt;0,G67/m_MP,0)</f>
        <v>19043.3300204655</v>
      </c>
    </row>
    <row r="70" customFormat="false" ht="15" hidden="false" customHeight="false" outlineLevel="0" collapsed="false">
      <c r="B70" s="0" t="s">
        <v>79</v>
      </c>
      <c r="D70" s="38" t="n">
        <f aca="false">D69/in_eur</f>
        <v>3668.51954017535</v>
      </c>
      <c r="E70" s="38" t="n">
        <f aca="false">E69/in_eur</f>
        <v>3849.8486373057</v>
      </c>
      <c r="F70" s="38" t="n">
        <f aca="false">F69/in_eur</f>
        <v>4221.75298852641</v>
      </c>
      <c r="G70" s="38" t="n">
        <f aca="false">G69/in_eur</f>
        <v>4403.08208565676</v>
      </c>
    </row>
    <row r="71" customFormat="false" ht="15" hidden="false" customHeight="false" outlineLevel="0" collapsed="false">
      <c r="B71" s="0" t="s">
        <v>310</v>
      </c>
      <c r="D71" s="31" t="n">
        <f aca="false">D61-D55+c_dzwig_alt*D54</f>
        <v>777991.356</v>
      </c>
      <c r="E71" s="31" t="n">
        <f aca="false">E61-E55+c_dzwig_alt*E54</f>
        <v>816934.932</v>
      </c>
      <c r="F71" s="31" t="n">
        <f aca="false">F61-F55+c_dzwig_alt*F54</f>
        <v>895463.112</v>
      </c>
      <c r="G71" s="31" t="n">
        <f aca="false">G61-G55+c_dzwig_alt*G54</f>
        <v>934406.688</v>
      </c>
    </row>
    <row r="72" customFormat="false" ht="15" hidden="false" customHeight="false" outlineLevel="0" collapsed="false">
      <c r="B72" s="0" t="s">
        <v>311</v>
      </c>
      <c r="D72" s="31" t="n">
        <f aca="false">D71/(1-(c_kob+c_gdw+in_zysk_min))</f>
        <v>894242.937931035</v>
      </c>
      <c r="E72" s="31" t="n">
        <f aca="false">E71/(1-(c_kob+c_gdw+in_zysk_min))</f>
        <v>939005.668965517</v>
      </c>
      <c r="F72" s="31" t="n">
        <f aca="false">F71/(1-(c_kob+c_gdw+in_zysk_min))</f>
        <v>1029267.94482759</v>
      </c>
      <c r="G72" s="31" t="n">
        <f aca="false">G71/(1-(c_kob+c_gdw+in_zysk_min))</f>
        <v>1074030.67586207</v>
      </c>
    </row>
    <row r="73" customFormat="false" ht="15" hidden="false" customHeight="false" outlineLevel="0" collapsed="false">
      <c r="B73" s="11" t="s">
        <v>312</v>
      </c>
      <c r="D73" s="33" t="n">
        <f aca="false">D72*(1+c_podatek*(c_gdw+in_zysk_min))+c_podatek*(D57+D58+D59+D60)</f>
        <v>920388.543184828</v>
      </c>
      <c r="E73" s="33" t="n">
        <f aca="false">E72*(1+c_podatek*(c_gdw+in_zysk_min))+c_podatek*(E57+E58+E59+E60)</f>
        <v>965934.622012414</v>
      </c>
      <c r="F73" s="33" t="n">
        <f aca="false">F72*(1+c_podatek*(c_gdw+in_zysk_min))+c_podatek*(F57+F58+F59+F60)</f>
        <v>1059401.32154207</v>
      </c>
      <c r="G73" s="33" t="n">
        <f aca="false">G72*(1+c_podatek*(c_gdw+in_zysk_min))+c_podatek*(G57+G58+G59+G60)</f>
        <v>1104947.40036966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2026-10-19T09:32:04Z</dcterms:created>
  <dc:creator>openpyxl</dc:creator>
  <dc:description/>
  <dc:language>en-US</dc:language>
  <cp:lastModifiedBy/>
  <dcterms:modified xsi:type="dcterms:W3CDTF">2026-10-19T09:32:04Z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