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<sst xmlns="http://schemas.openxmlformats.org/spreadsheetml/2006/main" count="419" uniqueCount="363">
  <si>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</si>
  <si>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</si>
  <si>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</si>
  <si>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</si>
  <si>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Dekerta Kraków</t>
  </si>
  <si>
    <t xml:space="preserve">Data oferty</t>
  </si>
  <si>
    <t xml:space="preserve">Nr oferty / handlowiec</t>
  </si>
  <si>
    <t xml:space="preserve">20261015-SNK</t>
  </si>
  <si>
    <t xml:space="preserve">Opis / wariant (H, L, P, Hpoj ...)</t>
  </si>
  <si>
    <t xml:space="preserve">H-225 | L-530 | P-392/352? | Hpoj. G-170(185). D-200(185) | 5A6+1A5+1A4 | Bok-58 Tył-4 | mgstrl- 32</t>
  </si>
  <si>
    <t xml:space="preserve">2. Lokalizacja</t>
  </si>
  <si>
    <t xml:space="preserve">Lokalizacja</t>
  </si>
  <si>
    <t xml:space="preserve">Kraków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</si>
  <si>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</si>
  <si>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</si>
  <si>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</si>
  <si>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</si>
  <si>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</si>
  <si>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</si>
  <si>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</si>
  <si>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</si>
  <si>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</si>
  <si>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</si>
  <si>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</si>
  <si>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</si>
  <si>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</si>
  <si>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</si>
  <si>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</si>
  <si>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</si>
  <si>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</si>
  <si>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</si>
  <si>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</si>
  <si>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</si>
  <si>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</si>
  <si>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</si>
  <si>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</si>
  <si>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</si>
  <si>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</si>
  <si>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</si>
  <si>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</si>
  <si>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</si>
  <si>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</si>
  <si>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</si>
  <si>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</si>
  <si>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</si>
  <si>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</si>
  <si>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</si>
  <si>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</si>
  <si>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</si>
  <si>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</si>
  <si>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</si>
  <si>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</si>
  <si>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</si>
  <si>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</si>
  <si>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</si>
  <si>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</si>
  <si>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</si>
  <si>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</si>
  <si>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</si>
  <si>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</si>
  <si>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</si>
  <si>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</si>
  <si>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</si>
  <si>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</si>
  <si>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</si>
  <si>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</si>
  <si>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</si>
  <si>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</si>
  <si>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</si>
  <si>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</si>
  <si>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</si>
  <si>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</si>
  <si>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</si>
  <si>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</si>
  <si>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</si>
  <si>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</si>
  <si>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</si>
  <si>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</si>
  <si>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</si>
  <si>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</si>
  <si>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</si>
  <si>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</si>
  <si>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</si>
  <si>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</si>
  <si>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</si>
  <si>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</si>
  <si>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</si>
  <si>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z narzutem A [zł]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</si>
  <si>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</si>
  <si>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</si>
  <si>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</si>
  <si>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</si>
  <si>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</si>
  <si>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</si>
  <si>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</si>
  <si>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</si>
  <si>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</si>
  <si>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</si>
  <si>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</si>
  <si>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</si>
  <si>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</si>
  <si>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</si>
  <si>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</si>
  <si>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</si>
  <si>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</si>
  <si>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</si>
  <si>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</si>
  <si>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</si>
  <si>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</si>
  <si>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</si>
  <si>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</si>
  <si>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</si>
  <si>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</si>
  <si>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</si>
  <si>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</si>
  <si>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</si>
  <si>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</si>
  <si>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</si>
  <si>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</si>
  <si>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</si>
  <si>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</si>
  <si>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</si>
  <si>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</si>
  <si>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</si>
  <si>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</si>
  <si>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</si>
  <si>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</si>
  <si>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</si>
  <si>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</si>
  <si>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</si>
  <si>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</si>
  <si>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</si>
  <si>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</si>
  <si>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</si>
  <si>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</si>
  <si>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</si>
  <si>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</si>
  <si>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</si>
  <si>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</si>
  <si>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</si>
  <si>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</si>
  <si>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</si>
  <si>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</si>
  <si>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</si>
  <si>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</si>
  <si>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</si>
  <si>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</si>
  <si>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</si>
  <si>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</si>
  <si>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</si>
  <si>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</si>
  <si>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</si>
  <si>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</si>
  <si>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</si>
  <si>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</si>
  <si>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</si>
  <si>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</si>
  <si>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</si>
  <si>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</si>
  <si>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</si>
  <si>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</si>
  <si>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</si>
  <si>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</si>
  <si>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</si>
  <si>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</si>
  <si>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</si>
  <si>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</si>
  <si>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</si>
  <si>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</si>
  <si>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</si>
  <si>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</si>
  <si>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</si>
  <si>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</si>
  <si>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</si>
  <si>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</si>
  <si>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</si>
  <si>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</si>
  <si>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</si>
  <si>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</si>
  <si>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</si>
  <si>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</si>
  <si>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</si>
  <si>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</si>
  <si>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</si>
  <si>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</si>
  <si>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</si>
  <si>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</si>
  <si>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</si>
  <si>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</si>
  <si>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</si>
  <si>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</si>
  <si>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</si>
  <si>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</si>
  <si>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</si>
  <si>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</si>
  <si>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</si>
  <si>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</si>
  <si>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</si>
  <si>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</si>
  <si>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</si>
  <si>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</si>
  <si>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</si>
  <si>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</si>
  <si>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</si>
  <si>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</si>
  <si>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</si>
  <si>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</si>
  <si>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</si>
  <si>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</si>
  <si>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</si>
  <si>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</si>
  <si>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</si>
  <si>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</si>
  <si>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</si>
  <si>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</si>
  <si>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</si>
  <si>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</si>
  <si>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</si>
  <si>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</si>
  <si>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</si>
  <si>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</si>
  <si>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</si>
  <si>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</si>
  <si>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</si>
  <si>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</si>
  <si>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</si>
  <si>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</si>
  <si>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</si>
  <si>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</si>
  <si>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</si>
  <si>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</si>
  <si>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</si>
  <si>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</si>
  <si>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</si>
  <si>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</si>
  <si>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</si>
  <si>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</si>
  <si>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</si>
  <si>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</si>
  <si>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</si>
  <si>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</si>
  <si>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</si>
  <si>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</si>
  <si>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</si>
  <si>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</si>
  <si>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</si>
  <si>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</si>
  <si>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</si>
  <si>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</si>
  <si>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</si>
  <si>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</si>
  <si>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</si>
  <si>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</si>
  <si>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</si>
  <si>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</si>
  <si>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</si>
  <si>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</si>
  <si>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</si>
  <si>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</si>
  <si>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</si>
  <si>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</si>
  <si>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</si>
  <si>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</si>
  <si>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</si>
  <si>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</si>
  <si>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</si>
  <si>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</si>
  <si>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</si>
  <si>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</si>
  <si>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</si>
  <si>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</si>
  <si>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</si>
  <si>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</si>
  <si>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</si>
  <si>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</si>
  <si>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</si>
  <si>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</si>
  <si>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</si>
  <si>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</si>
  <si>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</si>
  <si>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</si>
  <si>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</si>
  <si>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</si>
  <si>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</si>
  <si>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</si>
  <si>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</si>
  <si>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</si>
  <si>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</si>
  <si>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</si>
  <si>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</si>
  <si>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</si>
  <si>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</si>
  <si>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</si>
  <si>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</si>
  <si>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</si>
  <si>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</si>
  <si>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</si>
  <si>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</si>
  <si>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</si>
  <si>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</si>
  <si>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</si>
  <si>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</si>
  <si>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</si>
  <si>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</si>
  <si>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</si>
  <si>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</si>
  <si>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</si>
  <si>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</si>
  <si>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</si>
  <si>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</si>
  <si>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</si>
  <si>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</si>
  <si>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</si>
  <si>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</si>
  <si>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</si>
  <si>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</si>
  <si>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</si>
  <si>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</si>
  <si>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</si>
  <si>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</si>
  <si>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</si>
  <si>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</si>
  <si>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</si>
  <si>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</si>
  <si>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</si>
  <si>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</si>
  <si>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</si>
  <si>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</si>
  <si>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</si>
  <si>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</si>
  <si>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</si>
  <si>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</si>
  <si>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</si>
  <si>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</si>
  <si>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</si>
  <si>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</si>
  <si>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</si>
  <si>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</si>
  <si>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</si>
  <si>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</si>
  <si>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</si>
  <si>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</si>
  <si>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</si>
  <si>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</si>
  <si>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</si>
  <si>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</si>
  <si>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</si>
  <si>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</si>
  <si>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</si>
  <si>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</si>
  <si>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</si>
  <si>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</si>
  <si>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</si>
  <si>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</si>
  <si>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</si>
  <si>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</si>
  <si>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</si>
  <si>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</si>
  <si>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Zysk z narzutem (dawne J44 = zysk + GDW)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</si>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</sst>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46310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12</v>
      </c>
    </row>
    <row r="20" customFormat="false" ht="15" hidden="false" customHeight="false" outlineLevel="0" collapsed="false">
      <c r="B20" s="0" t="s">
        <v>23</v>
      </c>
      <c r="C20" s="10" t="n">
        <v>27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7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32</v>
      </c>
    </row>
    <row r="24" customFormat="false" ht="15" hidden="false" customHeight="false" outlineLevel="0" collapsed="false">
      <c r="B24" s="0" t="s">
        <v>28</v>
      </c>
      <c r="C24" s="10" t="n">
        <v>58</v>
      </c>
    </row>
    <row r="25" customFormat="false" ht="15" hidden="false" customHeight="false" outlineLevel="0" collapsed="false">
      <c r="B25" s="0" t="s">
        <v>29</v>
      </c>
      <c r="C25" s="10" t="n">
        <v>4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12</v>
      </c>
      <c r="D38" s="10" t="n">
        <v>27</v>
      </c>
      <c r="F38" s="8" t="str">
        <f aca="false">IF(C38+D38&gt;0,"; 225 cm: "&amp;IF(C38&gt;0,C38&amp;"S","")&amp;IF(AND(C38&gt;0,D38&gt;0),"+","")&amp;IF(D38&gt;0,D38&amp;"D",""),"")</f>
        <v>; 225 cm: 12S+27D</v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225 cm: 12S+27D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6</v>
      </c>
    </row>
    <row r="48" customFormat="false" ht="15" hidden="false" customHeight="false" outlineLevel="0" collapsed="false">
      <c r="B48" s="0" t="s">
        <v>54</v>
      </c>
      <c r="C48" s="13" t="n">
        <v>1800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3000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3"/>
      <c r="E51" s="8" t="s">
        <v>61</v>
      </c>
    </row>
    <row r="52" customFormat="false" ht="15" hidden="false" customHeight="false" outlineLevel="0" collapsed="false">
      <c r="B52" s="0" t="s">
        <v>62</v>
      </c>
      <c r="C52" s="10" t="n">
        <v>5</v>
      </c>
      <c r="E52" s="8" t="s">
        <v>63</v>
      </c>
    </row>
    <row r="53" customFormat="false" ht="15" hidden="false" customHeight="false" outlineLevel="0" collapsed="false">
      <c r="B53" s="0" t="s">
        <v>64</v>
      </c>
      <c r="C53" s="10"/>
      <c r="E53" s="8" t="s">
        <v>17</v>
      </c>
    </row>
    <row r="54" customFormat="false" ht="15" hidden="false" customHeight="false" outlineLevel="0" collapsed="false">
      <c r="B54" s="0" t="s">
        <v>65</v>
      </c>
      <c r="C54" s="6" t="s">
        <v>66</v>
      </c>
      <c r="E54" s="8" t="s">
        <v>67</v>
      </c>
    </row>
    <row r="56" customFormat="false" ht="15" hidden="false" customHeight="false" outlineLevel="0" collapsed="false">
      <c r="B56" s="4" t="s">
        <v>68</v>
      </c>
      <c r="C56" s="5"/>
      <c r="D56" s="5"/>
      <c r="E56" s="5"/>
    </row>
    <row r="57" customFormat="false" ht="15" hidden="false" customHeight="false" outlineLevel="0" collapsed="false">
      <c r="B57" s="0" t="s">
        <v>69</v>
      </c>
      <c r="C57" s="14" t="n">
        <v>0.13</v>
      </c>
    </row>
    <row r="58" customFormat="false" ht="15" hidden="false" customHeight="false" outlineLevel="0" collapsed="false">
      <c r="B58" s="0" t="s">
        <v>70</v>
      </c>
      <c r="C58" s="14" t="n">
        <v>0.11</v>
      </c>
    </row>
    <row r="59" customFormat="false" ht="15" hidden="false" customHeight="false" outlineLevel="0" collapsed="false">
      <c r="B59" s="0" t="s">
        <v>71</v>
      </c>
      <c r="C59" s="14" t="n">
        <v>0.07</v>
      </c>
      <c r="E59" s="8" t="s">
        <v>72</v>
      </c>
    </row>
    <row r="60" customFormat="false" ht="15" hidden="false" customHeight="false" outlineLevel="0" collapsed="false">
      <c r="B60" s="0" t="s">
        <v>73</v>
      </c>
      <c r="C60" s="15" t="n">
        <v>4.325</v>
      </c>
    </row>
    <row r="61" customFormat="false" ht="15" hidden="false" customHeight="false" outlineLevel="0" collapsed="false">
      <c r="B61" s="0" t="s">
        <v>74</v>
      </c>
      <c r="C61" s="13" t="n">
        <v>40</v>
      </c>
    </row>
    <row r="62" customFormat="false" ht="15" hidden="false" customHeight="false" outlineLevel="0" collapsed="false">
      <c r="B62" s="0" t="s">
        <v>75</v>
      </c>
      <c r="C62" s="13" t="n">
        <v>50</v>
      </c>
    </row>
    <row r="63" customFormat="false" ht="15" hidden="false" customHeight="false" outlineLevel="0" collapsed="false">
      <c r="B63" s="0" t="s">
        <v>76</v>
      </c>
      <c r="C63" s="6" t="s">
        <v>77</v>
      </c>
    </row>
    <row r="65" customFormat="false" ht="15" hidden="false" customHeight="false" outlineLevel="0" collapsed="false">
      <c r="B65" s="4" t="s">
        <v>78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ok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ok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79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Dekerta Kraków   |   2026-10-15   |   20261015-SNK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12S250+27D500, 7A   |   132 MP   |   Kraków</v>
      </c>
    </row>
    <row r="6" customFormat="false" ht="15" hidden="false" customHeight="false" outlineLevel="0" collapsed="false">
      <c r="B6" s="4" t="s">
        <v>80</v>
      </c>
      <c r="C6" s="17" t="s">
        <v>77</v>
      </c>
      <c r="D6" s="17" t="s">
        <v>81</v>
      </c>
      <c r="E6" s="17" t="s">
        <v>82</v>
      </c>
      <c r="F6" s="17" t="s">
        <v>83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13.0%</v>
      </c>
      <c r="C7" s="18" t="n">
        <f aca="false">Obliczenia!D71</f>
        <v>2067288.63852762</v>
      </c>
      <c r="D7" s="18" t="n">
        <f aca="false">Obliczenia!E71</f>
        <v>2196465.18694829</v>
      </c>
      <c r="E7" s="18" t="n">
        <f aca="false">Obliczenia!F71</f>
        <v>2368495.80900381</v>
      </c>
      <c r="F7" s="18" t="n">
        <f aca="false">Obliczenia!G71</f>
        <v>2497672.35742448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11.0%</v>
      </c>
      <c r="C8" s="18" t="n">
        <f aca="false">Obliczenia!D78</f>
        <v>2014162.37601302</v>
      </c>
      <c r="D8" s="18" t="n">
        <f aca="false">Obliczenia!E78</f>
        <v>2139989.0392306</v>
      </c>
      <c r="E8" s="18" t="n">
        <f aca="false">Obliczenia!F78</f>
        <v>2307632.65229209</v>
      </c>
      <c r="F8" s="18" t="n">
        <f aca="false">Obliczenia!G78</f>
        <v>2433459.31550968</v>
      </c>
    </row>
    <row r="9" customFormat="false" ht="15" hidden="false" customHeight="false" outlineLevel="0" collapsed="false">
      <c r="B9" s="0" t="s">
        <v>84</v>
      </c>
      <c r="C9" s="19" t="n">
        <f aca="false">Obliczenia!D74</f>
        <v>15661.2775646032</v>
      </c>
      <c r="D9" s="19" t="n">
        <f aca="false">Obliczenia!E74</f>
        <v>16639.8877799113</v>
      </c>
      <c r="E9" s="19" t="n">
        <f aca="false">Obliczenia!F74</f>
        <v>17943.1500682107</v>
      </c>
      <c r="F9" s="19" t="n">
        <f aca="false">Obliczenia!G74</f>
        <v>18921.7602835188</v>
      </c>
    </row>
    <row r="10" customFormat="false" ht="15" hidden="false" customHeight="false" outlineLevel="0" collapsed="false">
      <c r="B10" s="0" t="s">
        <v>85</v>
      </c>
      <c r="C10" s="19" t="n">
        <f aca="false">Obliczenia!D79</f>
        <v>15258.8058788865</v>
      </c>
      <c r="D10" s="19" t="n">
        <f aca="false">Obliczenia!E79</f>
        <v>16212.0381759894</v>
      </c>
      <c r="E10" s="19" t="n">
        <f aca="false">Obliczenia!F79</f>
        <v>17482.0655476674</v>
      </c>
      <c r="F10" s="19" t="n">
        <f aca="false">Obliczenia!G79</f>
        <v>18435.2978447703</v>
      </c>
    </row>
    <row r="11" customFormat="false" ht="15" hidden="false" customHeight="false" outlineLevel="0" collapsed="false">
      <c r="B11" s="0" t="s">
        <v>86</v>
      </c>
      <c r="C11" s="20" t="n">
        <f aca="false">Obliczenia!D75</f>
        <v>3621.10463921461</v>
      </c>
      <c r="D11" s="20" t="n">
        <f aca="false">Obliczenia!E75</f>
        <v>3847.37289708931</v>
      </c>
      <c r="E11" s="20" t="n">
        <f aca="false">Obliczenia!F75</f>
        <v>4148.70521808339</v>
      </c>
      <c r="F11" s="20" t="n">
        <f aca="false">Obliczenia!G75</f>
        <v>4374.9734759581</v>
      </c>
    </row>
    <row r="12" customFormat="false" ht="15" hidden="false" customHeight="false" outlineLevel="0" collapsed="false">
      <c r="B12" s="0" t="s">
        <v>87</v>
      </c>
      <c r="C12" s="19" t="n">
        <f aca="false">Obliczenia!D73</f>
        <v>310793.065619048</v>
      </c>
      <c r="D12" s="19" t="n">
        <f aca="false">Obliczenia!E73</f>
        <v>330390.173385714</v>
      </c>
      <c r="E12" s="19" t="n">
        <f aca="false">Obliczenia!F73</f>
        <v>356054.541809524</v>
      </c>
      <c r="F12" s="19" t="n">
        <f aca="false">Obliczenia!G73</f>
        <v>375651.64957619</v>
      </c>
    </row>
    <row r="13" customFormat="false" ht="15" hidden="false" customHeight="false" outlineLevel="0" collapsed="false">
      <c r="B13" s="0" t="s">
        <v>88</v>
      </c>
      <c r="C13" s="19" t="n">
        <f aca="false">Obliczenia!D69</f>
        <v>260665.151809524</v>
      </c>
      <c r="D13" s="19" t="n">
        <f aca="false">Obliczenia!E69</f>
        <v>277101.435742857</v>
      </c>
      <c r="E13" s="19" t="n">
        <f aca="false">Obliczenia!F69</f>
        <v>298626.389904762</v>
      </c>
      <c r="F13" s="19" t="n">
        <f aca="false">Obliczenia!G69</f>
        <v>315062.673838095</v>
      </c>
    </row>
    <row r="14" customFormat="false" ht="15" hidden="false" customHeight="false" outlineLevel="0" collapsed="false">
      <c r="B14" s="0" t="s">
        <v>89</v>
      </c>
      <c r="C14" s="19" t="n">
        <f aca="false">Obliczenia!D77</f>
        <v>215433.452837209</v>
      </c>
      <c r="D14" s="19" t="n">
        <f aca="false">Obliczenia!E77</f>
        <v>229017.644567442</v>
      </c>
      <c r="E14" s="19" t="n">
        <f aca="false">Obliczenia!F77</f>
        <v>246807.499348837</v>
      </c>
      <c r="F14" s="19" t="n">
        <f aca="false">Obliczenia!G77</f>
        <v>260391.69107907</v>
      </c>
    </row>
    <row r="15" customFormat="false" ht="15" hidden="false" customHeight="false" outlineLevel="0" collapsed="false">
      <c r="B15" s="0" t="s">
        <v>90</v>
      </c>
      <c r="C15" s="19" t="n">
        <f aca="false">Obliczenia!D72</f>
        <v>1756495.57290857</v>
      </c>
      <c r="D15" s="19" t="n">
        <f aca="false">Obliczenia!E72</f>
        <v>1866075.01356257</v>
      </c>
      <c r="E15" s="19" t="n">
        <f aca="false">Obliczenia!F72</f>
        <v>2012441.26719429</v>
      </c>
      <c r="F15" s="19" t="n">
        <f aca="false">Obliczenia!G72</f>
        <v>2122020.70784829</v>
      </c>
    </row>
    <row r="17" customFormat="false" ht="15" hidden="false" customHeight="false" outlineLevel="0" collapsed="false">
      <c r="B17" s="0" t="s">
        <v>91</v>
      </c>
      <c r="C17" s="19" t="n">
        <f aca="false">Obliczenia!D54</f>
        <v>1517195.44</v>
      </c>
      <c r="D17" s="19" t="n">
        <f aca="false">Obliczenia!E54</f>
        <v>1623399.1208</v>
      </c>
      <c r="E17" s="19" t="n">
        <f aca="false">Obliczenia!F54</f>
        <v>1517195.44</v>
      </c>
      <c r="F17" s="19" t="n">
        <f aca="false">Obliczenia!G54</f>
        <v>1623399.1208</v>
      </c>
    </row>
    <row r="18" customFormat="false" ht="15" hidden="false" customHeight="false" outlineLevel="0" collapsed="false">
      <c r="B18" s="0" t="s">
        <v>92</v>
      </c>
      <c r="C18" s="19" t="n">
        <f aca="false">Obliczenia!D55</f>
        <v>0</v>
      </c>
      <c r="D18" s="19" t="n">
        <f aca="false">Obliczenia!E55</f>
        <v>0</v>
      </c>
      <c r="E18" s="19" t="n">
        <f aca="false">Obliczenia!F55</f>
        <v>224400</v>
      </c>
      <c r="F18" s="19" t="n">
        <f aca="false">Obliczenia!G55</f>
        <v>224400</v>
      </c>
    </row>
    <row r="19" customFormat="false" ht="15" hidden="false" customHeight="false" outlineLevel="0" collapsed="false">
      <c r="B19" s="0" t="s">
        <v>93</v>
      </c>
      <c r="C19" s="19" t="n">
        <f aca="false">Obliczenia!D58+Obliczenia!D59+Obliczenia!D60</f>
        <v>30600</v>
      </c>
      <c r="D19" s="19" t="n">
        <f aca="false">Obliczenia!E58+Obliczenia!E59+Obliczenia!E60</f>
        <v>30600</v>
      </c>
      <c r="E19" s="19" t="n">
        <f aca="false">Obliczenia!F58+Obliczenia!F59+Obliczenia!F60</f>
        <v>30600</v>
      </c>
      <c r="F19" s="19" t="n">
        <f aca="false">Obliczenia!G58+Obliczenia!G59+Obliczenia!G60</f>
        <v>30600</v>
      </c>
    </row>
    <row r="20" customFormat="false" ht="15" hidden="false" customHeight="false" outlineLevel="0" collapsed="false">
      <c r="B20" s="0" t="s">
        <v>94</v>
      </c>
      <c r="C20" s="19" t="n">
        <f aca="false">Obliczenia!D63+Obliczenia!D61+Obliczenia!D62</f>
        <v>133293.264</v>
      </c>
      <c r="D20" s="19" t="n">
        <f aca="false">Obliczenia!E63+Obliczenia!E61+Obliczenia!E62</f>
        <v>133293.264</v>
      </c>
      <c r="E20" s="19" t="n">
        <f aca="false">Obliczenia!F63+Obliczenia!F61+Obliczenia!F62</f>
        <v>153729.264</v>
      </c>
      <c r="F20" s="19" t="n">
        <f aca="false">Obliczenia!G63+Obliczenia!G61+Obliczenia!G62</f>
        <v>153729.264</v>
      </c>
    </row>
    <row r="21" customFormat="false" ht="15" hidden="false" customHeight="false" outlineLevel="0" collapsed="false">
      <c r="B21" s="0" t="s">
        <v>95</v>
      </c>
      <c r="C21" s="19" t="n">
        <f aca="false">Obliczenia!D57+Obliczenia!D64+Obliczenia!D56</f>
        <v>3209.2</v>
      </c>
      <c r="D21" s="19" t="n">
        <f aca="false">Obliczenia!E57+Obliczenia!E64+Obliczenia!E56</f>
        <v>3209.2</v>
      </c>
      <c r="E21" s="19" t="n">
        <f aca="false">Obliczenia!F57+Obliczenia!F64+Obliczenia!F56</f>
        <v>3661.2</v>
      </c>
      <c r="F21" s="19" t="n">
        <f aca="false">Obliczenia!G57+Obliczenia!G64+Obliczenia!G56</f>
        <v>3661.2</v>
      </c>
    </row>
    <row r="22" customFormat="false" ht="15" hidden="false" customHeight="false" outlineLevel="0" collapsed="false">
      <c r="B22" s="0" t="s">
        <v>96</v>
      </c>
      <c r="C22" s="19" t="n">
        <f aca="false">Obliczenia!D67+Obliczenia!D68+Obliczenia!D70</f>
        <v>122325.582718095</v>
      </c>
      <c r="D22" s="19" t="n">
        <f aca="false">Obliczenia!E67+Obliczenia!E68+Obliczenia!E70</f>
        <v>128862.166405429</v>
      </c>
      <c r="E22" s="19" t="n">
        <f aca="false">Obliczenia!F67+Obliczenia!F68+Obliczenia!F70</f>
        <v>140283.515099048</v>
      </c>
      <c r="F22" s="19" t="n">
        <f aca="false">Obliczenia!G67+Obliczenia!G68+Obliczenia!G70</f>
        <v>146820.098786381</v>
      </c>
    </row>
    <row r="24" customFormat="false" ht="15" hidden="false" customHeight="false" outlineLevel="0" collapsed="false">
      <c r="B24" s="11" t="s">
        <v>97</v>
      </c>
      <c r="C24" s="21" t="n">
        <f aca="false">Obliczenia!D51</f>
        <v>69</v>
      </c>
      <c r="D24" s="21" t="n">
        <f aca="false">Obliczenia!E51</f>
        <v>69</v>
      </c>
      <c r="E24" s="21" t="n">
        <f aca="false">Obliczenia!F51</f>
        <v>79</v>
      </c>
      <c r="F24" s="21" t="n">
        <f aca="false">Obliczenia!G51</f>
        <v>79</v>
      </c>
    </row>
    <row r="25" customFormat="false" ht="15" hidden="false" customHeight="false" outlineLevel="0" collapsed="false">
      <c r="B25" s="11" t="s">
        <v>98</v>
      </c>
      <c r="C25" s="21" t="n">
        <f aca="false">Obliczenia!D52</f>
        <v>14</v>
      </c>
      <c r="D25" s="21" t="n">
        <f aca="false">Obliczenia!E52</f>
        <v>14</v>
      </c>
      <c r="E25" s="21" t="n">
        <f aca="false">Obliczenia!F52</f>
        <v>16</v>
      </c>
      <c r="F25" s="21" t="n">
        <f aca="false">Obliczenia!G52</f>
        <v>16</v>
      </c>
    </row>
    <row r="26" customFormat="false" ht="15" hidden="false" customHeight="false" outlineLevel="0" collapsed="false">
      <c r="B26" s="0" t="s">
        <v>99</v>
      </c>
      <c r="C26" s="22" t="n">
        <f aca="false">Obliczenia!D50</f>
        <v>341.7776</v>
      </c>
      <c r="D26" s="22" t="n">
        <f aca="false">Obliczenia!E50</f>
        <v>341.7776</v>
      </c>
      <c r="E26" s="22" t="n">
        <f aca="false">Obliczenia!F50</f>
        <v>394.1776</v>
      </c>
      <c r="F26" s="22" t="n">
        <f aca="false">Obliczenia!G50</f>
        <v>394.1776</v>
      </c>
    </row>
    <row r="28" customFormat="false" ht="15" hidden="false" customHeight="false" outlineLevel="0" collapsed="false">
      <c r="B28" s="4" t="s">
        <v>100</v>
      </c>
      <c r="C28" s="4" t="s">
        <v>101</v>
      </c>
      <c r="D28" s="4" t="s">
        <v>102</v>
      </c>
    </row>
    <row r="29" customFormat="false" ht="15" hidden="false" customHeight="false" outlineLevel="0" collapsed="false">
      <c r="B29" s="0" t="s">
        <v>103</v>
      </c>
      <c r="C29" s="19" t="n">
        <f aca="false">Obliczenia!F71-Obliczenia!D71</f>
        <v>301207.170476191</v>
      </c>
      <c r="D29" s="19" t="n">
        <f aca="false">Obliczenia!G71-Obliczenia!E71</f>
        <v>301207.170476191</v>
      </c>
    </row>
    <row r="30" customFormat="false" ht="15" hidden="false" customHeight="false" outlineLevel="0" collapsed="false">
      <c r="B30" s="0" t="s">
        <v>104</v>
      </c>
      <c r="C30" s="19" t="n">
        <f aca="false">Obliczenia!F71-Obliczenia!D71+(c_slupek22-c_slupek)*m_MP*e_mnoznik</f>
        <v>1039750.31333333</v>
      </c>
      <c r="D30" s="19" t="n">
        <f aca="false">Obliczenia!G71-Obliczenia!E71+(c_slupek22-c_slupek)*m_MP*e_mnoznik</f>
        <v>1039750.31333333</v>
      </c>
    </row>
    <row r="31" customFormat="false" ht="15" hidden="false" customHeight="false" outlineLevel="0" collapsed="false">
      <c r="B31" s="0" t="s">
        <v>105</v>
      </c>
      <c r="C31" s="19" t="n">
        <f aca="false">m_malowanie*e_mnoznik</f>
        <v>550866.583333333</v>
      </c>
      <c r="D31" s="19" t="n">
        <f aca="false">m_malowanie*e_mnoznik</f>
        <v>550866.583333333</v>
      </c>
    </row>
    <row r="33" customFormat="false" ht="15" hidden="false" customHeight="false" outlineLevel="0" collapsed="false">
      <c r="B33" s="11" t="str">
        <f aca="false">"Analiza liczby osób - wariant: "&amp;in_analiza</f>
        <v>Analiza liczby osób - wariant: 2000 kg</v>
      </c>
    </row>
    <row r="34" customFormat="false" ht="15" hidden="false" customHeight="false" outlineLevel="0" collapsed="false">
      <c r="B34" s="4" t="s">
        <v>106</v>
      </c>
      <c r="C34" s="17" t="s">
        <v>107</v>
      </c>
      <c r="D34" s="17" t="s">
        <v>108</v>
      </c>
      <c r="E34" s="17" t="s">
        <v>109</v>
      </c>
      <c r="F34" s="17" t="s">
        <v>110</v>
      </c>
      <c r="G34" s="17" t="s">
        <v>111</v>
      </c>
      <c r="H34" s="17" t="s">
        <v>112</v>
      </c>
    </row>
    <row r="35" customFormat="false" ht="15" hidden="false" customHeight="false" outlineLevel="0" collapsed="false">
      <c r="B35" s="0" t="s">
        <v>113</v>
      </c>
      <c r="C35" s="19" t="n">
        <f aca="false">Obliczenia!I71</f>
        <v>2094376.81522381</v>
      </c>
      <c r="D35" s="19" t="n">
        <f aca="false">Obliczenia!J71</f>
        <v>2078261.24830317</v>
      </c>
      <c r="E35" s="19" t="n">
        <f aca="false">Obliczenia!K71</f>
        <v>2070983.12580952</v>
      </c>
      <c r="F35" s="19" t="n">
        <f aca="false">Obliczenia!L71</f>
        <v>2067288.63852762</v>
      </c>
      <c r="G35" s="19" t="n">
        <f aca="false">Obliczenia!M71</f>
        <v>2065264.32524921</v>
      </c>
      <c r="H35" s="19" t="n">
        <f aca="false">Obliczenia!N71</f>
        <v>2064209.83858299</v>
      </c>
    </row>
    <row r="36" customFormat="false" ht="15" hidden="false" customHeight="false" outlineLevel="0" collapsed="false">
      <c r="B36" s="0" t="s">
        <v>114</v>
      </c>
      <c r="C36" s="19" t="n">
        <f aca="false">Obliczenia!I74</f>
        <v>15866.4910244228</v>
      </c>
      <c r="D36" s="19" t="n">
        <f aca="false">Obliczenia!J74</f>
        <v>15744.4033962362</v>
      </c>
      <c r="E36" s="19" t="n">
        <f aca="false">Obliczenia!K74</f>
        <v>15689.2661046176</v>
      </c>
      <c r="F36" s="19" t="n">
        <f aca="false">Obliczenia!L74</f>
        <v>15661.2775646032</v>
      </c>
      <c r="G36" s="19" t="n">
        <f aca="false">Obliczenia!M74</f>
        <v>15645.9418579485</v>
      </c>
      <c r="H36" s="19" t="n">
        <f aca="false">Obliczenia!N74</f>
        <v>15637.9533225984</v>
      </c>
    </row>
    <row r="37" customFormat="false" ht="15" hidden="false" customHeight="false" outlineLevel="0" collapsed="false">
      <c r="B37" s="0" t="s">
        <v>97</v>
      </c>
      <c r="C37" s="23" t="n">
        <f aca="false">Obliczenia!I51</f>
        <v>166</v>
      </c>
      <c r="D37" s="23" t="n">
        <f aca="false">Obliczenia!J51</f>
        <v>112</v>
      </c>
      <c r="E37" s="23" t="n">
        <f aca="false">Obliczenia!K51</f>
        <v>85</v>
      </c>
      <c r="F37" s="23" t="n">
        <f aca="false">Obliczenia!L51</f>
        <v>69</v>
      </c>
      <c r="G37" s="23" t="n">
        <f aca="false">Obliczenia!M51</f>
        <v>58</v>
      </c>
      <c r="H37" s="23" t="n">
        <f aca="false">Obliczenia!N51</f>
        <v>50</v>
      </c>
    </row>
    <row r="38" customFormat="false" ht="15" hidden="false" customHeight="false" outlineLevel="0" collapsed="false">
      <c r="B38" s="0" t="s">
        <v>115</v>
      </c>
      <c r="C38" s="23" t="n">
        <f aca="false">Obliczenia!I48</f>
        <v>166</v>
      </c>
      <c r="D38" s="23" t="n">
        <f aca="false">Obliczenia!J48</f>
        <v>112</v>
      </c>
      <c r="E38" s="23" t="n">
        <f aca="false">Obliczenia!K48</f>
        <v>85</v>
      </c>
      <c r="F38" s="23" t="n">
        <f aca="false">Obliczenia!L48</f>
        <v>69</v>
      </c>
      <c r="G38" s="23" t="n">
        <f aca="false">Obliczenia!M48</f>
        <v>58</v>
      </c>
      <c r="H38" s="23" t="n">
        <f aca="false">Obliczenia!N48</f>
        <v>50</v>
      </c>
    </row>
    <row r="39" customFormat="false" ht="15" hidden="false" customHeight="false" outlineLevel="0" collapsed="false">
      <c r="B39" s="0" t="s">
        <v>116</v>
      </c>
      <c r="C39" s="19" t="n">
        <f aca="false">Obliczenia!I57+Obliczenia!I64</f>
        <v>0</v>
      </c>
      <c r="D39" s="19" t="n">
        <f aca="false">Obliczenia!J57+Obliczenia!J64</f>
        <v>0</v>
      </c>
      <c r="E39" s="19" t="n">
        <f aca="false">Obliczenia!K57+Obliczenia!K64</f>
        <v>0</v>
      </c>
      <c r="F39" s="19" t="n">
        <f aca="false">Obliczenia!L57+Obliczenia!L64</f>
        <v>0</v>
      </c>
      <c r="G39" s="19" t="n">
        <f aca="false">Obliczenia!M57+Obliczenia!M64</f>
        <v>0</v>
      </c>
      <c r="H39" s="19" t="n">
        <f aca="false">Obliczenia!N57+Obliczenia!N64</f>
        <v>0</v>
      </c>
    </row>
    <row r="40" customFormat="false" ht="15" hidden="false" customHeight="false" outlineLevel="0" collapsed="false">
      <c r="B40" s="8" t="s">
        <v>117</v>
      </c>
    </row>
    <row r="42" customFormat="false" ht="15" hidden="false" customHeight="false" outlineLevel="0" collapsed="false">
      <c r="B42" s="4" t="s">
        <v>118</v>
      </c>
      <c r="C42" s="5"/>
      <c r="D42" s="5"/>
      <c r="E42" s="5"/>
      <c r="F42" s="5"/>
    </row>
    <row r="43" customFormat="false" ht="15" hidden="false" customHeight="false" outlineLevel="0" collapsed="false">
      <c r="B43" s="0" t="s">
        <v>119</v>
      </c>
      <c r="C43" s="16" t="str">
        <f aca="false">in_typ&amp;": "&amp;IF(in_S&gt;0,in_S&amp;" x S (2 MP)  ","")&amp;IF(in_D&gt;0,in_D&amp;" x D (4 MP)  ","")&amp;IF(in_NP&gt;0,in_NP&amp;" x N.P.  ","")&amp;"= "&amp;m_MP&amp;" MP"</f>
        <v>NK38: 12 x S (2 MP)  27 x D (4 MP)  = 132 MP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25</v>
      </c>
      <c r="C44" s="16" t="str">
        <f aca="false">in_agregaty&amp;" szt."</f>
        <v>7 szt.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120</v>
      </c>
      <c r="C45" s="16" t="str">
        <f aca="false">IF(t_zaglebienia="","standard 170 cm",t_zaglebienia)</f>
        <v>225 cm: 12S+27D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121</v>
      </c>
      <c r="C46" s="16" t="str">
        <f aca="false">IF(t_wymiary="","standard",t_wymiary)</f>
        <v>standard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122</v>
      </c>
      <c r="C47" s="16" t="str">
        <f aca="false">in_magistrala&amp;" x 6 m  /  "&amp;in_barierki&amp;" szt.  /  "&amp;in_maskownice&amp;" szt."</f>
        <v>32 x 6 m  /  58 szt.  /  4 szt.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123</v>
      </c>
      <c r="C48" s="16" t="str">
        <f aca="false">m_utr&amp;" (z magistrali i barierek "&amp;m_utr_auto&amp;", ręcznie "&amp;in_utr_dod&amp;")"</f>
        <v>47 (z magistrali i barierek 47, ręcznie 0)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11</v>
      </c>
      <c r="C49" s="16" t="str">
        <f aca="false">in_lok&amp;IF(e_krk,"","  ("&amp;in_km&amp;" km od Krakowa)")</f>
        <v>Kraków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124</v>
      </c>
      <c r="C50" s="16" t="str">
        <f aca="false">e_km_pom&amp;" / "&amp;e_km_mon&amp;" km"</f>
        <v>20 / 20 km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125</v>
      </c>
      <c r="C51" s="16" t="str">
        <f aca="false">in_tir&amp;" TIR x "&amp;TEXT(in_tir_cena,"#,##0")&amp;" zł, rozładunek sprzętu "&amp;TEXT(in_rozl_cena,"#,##0")&amp;" zł jednorazowo, "&amp;e_rozl_dni&amp;" dni"</f>
        <v>6 TIR x 1,800 zł, rozładunek sprzętu 3,000 zł jednorazowo, 3 dni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126</v>
      </c>
      <c r="C52" s="16" t="str">
        <f aca="false">in_osoby&amp;" osób, średnia stawka "&amp;TEXT(Obliczenia!D41,"#,##0")&amp;" zł/dzień"</f>
        <v>5 osób, średnia stawka 390 zł/dzień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127</v>
      </c>
      <c r="C53" s="16" t="str">
        <f aca="false">e_dzw_dni&amp;" dni"</f>
        <v>7 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128</v>
      </c>
      <c r="C54" s="16" t="str">
        <f aca="false">Obliczenia!D51&amp;" dni pracy = "&amp;Obliczenia!D48&amp;IF(e_krk," dni"," tyg.")&amp;", "&amp;TEXT(Obliczenia!D50,"0.0")&amp;" osobodni"</f>
        <v>69 dni pracy = 69 dni, 341.8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129</v>
      </c>
      <c r="C55" s="16" t="str">
        <f aca="false">Obliczenia!F51&amp;" dni pracy = "&amp;Obliczenia!F48&amp;IF(e_krk," dni"," tyg.")&amp;", "&amp;TEXT(Obliczenia!F50,"0.0")&amp;" osobodni"</f>
        <v>79 dni pracy = 79 dni, 394.2 osobodni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130</v>
      </c>
      <c r="C56" s="16" t="str">
        <f aca="false">TEXT(in_zysk,"0.0%")&amp;" / "&amp;TEXT(in_zysk2,"0.0%")</f>
        <v>13.0% / 11.0%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131</v>
      </c>
      <c r="C57" s="16" t="str">
        <f aca="false">TEXT(in_q2500,"0.0%")</f>
        <v>7.0%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65</v>
      </c>
      <c r="C58" s="16" t="str">
        <f aca="false">in_wzor</f>
        <v>Stary (poprawiony)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132</v>
      </c>
      <c r="C59" s="16" t="str">
        <f aca="false">TEXT(in_konsA*m_MP*12,"#,##0")&amp;" / "&amp;TEXT(in_konsB*m_MP*12,"#,##0")&amp;" zł  (przegląd półroczny "&amp;TEXT(in_konsA*m_MP*6,"#,##0")&amp;" / "&amp;TEXT(in_konsB*m_MP*6,"#,##0")&amp;" zł)"</f>
        <v>63,360 / 79,200 zł  (przegląd półroczny 31,680 / 39,600 zł)</v>
      </c>
      <c r="D59" s="16"/>
      <c r="E59" s="16"/>
      <c r="F59" s="16"/>
      <c r="G59" s="16"/>
      <c r="H59" s="16"/>
    </row>
    <row r="60" customFormat="false" ht="15" hidden="false" customHeight="false" outlineLevel="0" collapsed="false">
      <c r="B60" s="0" t="s">
        <v>133</v>
      </c>
      <c r="C60" s="16" t="str">
        <f aca="false">in_opis&amp;""</f>
        <v>H-225 | L-530 | P-392/352? | Hpoj. G-170(185). D-200(185) | 5A6+1A5+1A4 | Bok-58 Tył-4 | mgstrl- 32</v>
      </c>
      <c r="D60" s="16"/>
      <c r="E60" s="16"/>
      <c r="F60" s="16"/>
      <c r="G60" s="16"/>
      <c r="H60" s="16"/>
    </row>
    <row r="62" customFormat="false" ht="15" hidden="false" customHeight="false" outlineLevel="0" collapsed="false">
      <c r="B62" s="11" t="s">
        <v>134</v>
      </c>
      <c r="C62" s="0" t="str">
        <f aca="false">IF(COUNTIF(Dane!B66:B71,"ok")=6,"wszystko ok","sprawdź arkusz Dane")</f>
        <v>wszystko ok</v>
      </c>
    </row>
    <row r="64" customFormat="false" ht="15" hidden="false" customHeight="false" outlineLevel="0" collapsed="false">
      <c r="B64" s="4" t="s">
        <v>135</v>
      </c>
      <c r="C64" s="5"/>
      <c r="D64" s="5"/>
      <c r="E64" s="5"/>
      <c r="F64" s="5"/>
      <c r="G64" s="5"/>
      <c r="H64" s="5"/>
    </row>
    <row r="65" customFormat="false" ht="30" hidden="false" customHeight="true" outlineLevel="0" collapsed="false">
      <c r="B65" s="24" t="s">
        <v>136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137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138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139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140</v>
      </c>
      <c r="C69" s="24"/>
      <c r="D69" s="24"/>
      <c r="E69" s="24"/>
      <c r="F69" s="24"/>
      <c r="G69" s="24"/>
      <c r="H69" s="24"/>
    </row>
    <row r="70" customFormat="false" ht="30" hidden="false" customHeight="true" outlineLevel="0" collapsed="false">
      <c r="B70" s="24" t="s">
        <v>141</v>
      </c>
      <c r="C70" s="24"/>
      <c r="D70" s="24"/>
      <c r="E70" s="24"/>
      <c r="F70" s="24"/>
      <c r="G70" s="24"/>
      <c r="H70" s="24"/>
    </row>
  </sheetData>
  <mergeCells count="24"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B65:H65"/>
    <mergeCell ref="B66:H66"/>
    <mergeCell ref="B67:H67"/>
    <mergeCell ref="B68:H68"/>
    <mergeCell ref="B69:H69"/>
    <mergeCell ref="B70:H70"/>
  </mergeCells>
  <conditionalFormatting sqref="C35:H35">
    <cfRule type="expression" priority="2" aboveAverage="0" equalAverage="0" bottom="0" percent="0" rank="0" text="" dxfId="1">
      <formula>C35=MIN($C$35:$H$35)</formula>
    </cfRule>
  </conditionalFormatting>
  <conditionalFormatting sqref="C62">
    <cfRule type="expression" priority="3" aboveAverage="0" equalAverage="0" bottom="0" percent="0" rank="0" text="" dxfId="0">
      <formula>C62&lt;&gt;"wszystko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142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143</v>
      </c>
    </row>
    <row r="5" customFormat="false" ht="15" hidden="false" customHeight="false" outlineLevel="0" collapsed="false">
      <c r="B5" s="4" t="s">
        <v>144</v>
      </c>
      <c r="C5" s="5"/>
      <c r="D5" s="5"/>
      <c r="E5" s="5"/>
    </row>
    <row r="6" customFormat="false" ht="15" hidden="false" customHeight="false" outlineLevel="0" collapsed="false">
      <c r="B6" s="0" t="s">
        <v>145</v>
      </c>
      <c r="C6" s="13" t="n">
        <v>32500</v>
      </c>
      <c r="E6" s="8" t="s">
        <v>146</v>
      </c>
    </row>
    <row r="7" customFormat="false" ht="15" hidden="false" customHeight="false" outlineLevel="0" collapsed="false">
      <c r="B7" s="0" t="s">
        <v>147</v>
      </c>
      <c r="C7" s="13" t="n">
        <v>700</v>
      </c>
      <c r="E7" s="8" t="s">
        <v>148</v>
      </c>
    </row>
    <row r="8" customFormat="false" ht="15" hidden="false" customHeight="false" outlineLevel="0" collapsed="false">
      <c r="B8" s="0" t="s">
        <v>149</v>
      </c>
      <c r="C8" s="14" t="n">
        <v>0.61</v>
      </c>
      <c r="E8" s="8" t="s">
        <v>150</v>
      </c>
    </row>
    <row r="9" customFormat="false" ht="15" hidden="false" customHeight="false" outlineLevel="0" collapsed="false">
      <c r="B9" s="0" t="s">
        <v>151</v>
      </c>
      <c r="C9" s="14" t="n">
        <v>0.85</v>
      </c>
      <c r="E9" s="8" t="s">
        <v>152</v>
      </c>
    </row>
    <row r="10" customFormat="false" ht="15" hidden="false" customHeight="false" outlineLevel="0" collapsed="false">
      <c r="B10" s="0" t="s">
        <v>153</v>
      </c>
      <c r="C10" s="13" t="n">
        <v>1170</v>
      </c>
      <c r="E10" s="8" t="s">
        <v>154</v>
      </c>
    </row>
    <row r="11" customFormat="false" ht="15" hidden="false" customHeight="false" outlineLevel="0" collapsed="false">
      <c r="B11" s="0" t="s">
        <v>155</v>
      </c>
      <c r="C11" s="13" t="n">
        <v>1560</v>
      </c>
      <c r="E11" s="8" t="s">
        <v>156</v>
      </c>
    </row>
    <row r="12" customFormat="false" ht="15" hidden="false" customHeight="false" outlineLevel="0" collapsed="false">
      <c r="B12" s="0" t="s">
        <v>157</v>
      </c>
      <c r="C12" s="13" t="n">
        <v>1820</v>
      </c>
      <c r="E12" s="8" t="s">
        <v>158</v>
      </c>
    </row>
    <row r="13" customFormat="false" ht="15" hidden="false" customHeight="false" outlineLevel="0" collapsed="false">
      <c r="B13" s="0" t="s">
        <v>159</v>
      </c>
      <c r="C13" s="13" t="n">
        <v>3110</v>
      </c>
      <c r="E13" s="8" t="s">
        <v>160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161</v>
      </c>
    </row>
    <row r="15" customFormat="false" ht="15" hidden="false" customHeight="false" outlineLevel="0" collapsed="false">
      <c r="B15" s="0" t="s">
        <v>162</v>
      </c>
      <c r="C15" s="25" t="n">
        <v>0.00127</v>
      </c>
      <c r="E15" s="8" t="s">
        <v>163</v>
      </c>
    </row>
    <row r="16" customFormat="false" ht="15" hidden="false" customHeight="false" outlineLevel="0" collapsed="false">
      <c r="B16" s="0" t="s">
        <v>164</v>
      </c>
      <c r="C16" s="14" t="n">
        <v>0.07</v>
      </c>
      <c r="E16" s="8" t="s">
        <v>165</v>
      </c>
    </row>
    <row r="17" customFormat="false" ht="15" hidden="false" customHeight="false" outlineLevel="0" collapsed="false">
      <c r="B17" s="4" t="s">
        <v>166</v>
      </c>
      <c r="C17" s="5"/>
      <c r="D17" s="5"/>
      <c r="E17" s="5"/>
    </row>
    <row r="18" customFormat="false" ht="15" hidden="false" customHeight="false" outlineLevel="0" collapsed="false">
      <c r="B18" s="0" t="s">
        <v>167</v>
      </c>
      <c r="C18" s="13" t="n">
        <v>6500</v>
      </c>
      <c r="E18" s="8" t="s">
        <v>168</v>
      </c>
    </row>
    <row r="19" customFormat="false" ht="15" hidden="false" customHeight="false" outlineLevel="0" collapsed="false">
      <c r="B19" s="0" t="s">
        <v>169</v>
      </c>
      <c r="C19" s="13" t="n">
        <v>1500</v>
      </c>
      <c r="E19" s="8" t="s">
        <v>170</v>
      </c>
    </row>
    <row r="20" customFormat="false" ht="15" hidden="false" customHeight="false" outlineLevel="0" collapsed="false">
      <c r="B20" s="0" t="s">
        <v>171</v>
      </c>
      <c r="C20" s="13" t="n">
        <v>200</v>
      </c>
      <c r="E20" s="8" t="s">
        <v>172</v>
      </c>
    </row>
    <row r="21" customFormat="false" ht="15" hidden="false" customHeight="false" outlineLevel="0" collapsed="false">
      <c r="B21" s="0" t="s">
        <v>173</v>
      </c>
      <c r="C21" s="13" t="n">
        <v>500</v>
      </c>
      <c r="E21" s="8" t="s">
        <v>174</v>
      </c>
    </row>
    <row r="22" customFormat="false" ht="15" hidden="false" customHeight="false" outlineLevel="0" collapsed="false">
      <c r="B22" s="0" t="s">
        <v>175</v>
      </c>
      <c r="C22" s="13" t="n">
        <v>50</v>
      </c>
      <c r="E22" s="8" t="s">
        <v>174</v>
      </c>
    </row>
    <row r="23" customFormat="false" ht="15" hidden="false" customHeight="false" outlineLevel="0" collapsed="false">
      <c r="B23" s="0" t="s">
        <v>176</v>
      </c>
      <c r="C23" s="13" t="n">
        <v>1080</v>
      </c>
      <c r="E23" s="8" t="s">
        <v>177</v>
      </c>
    </row>
    <row r="24" customFormat="false" ht="15" hidden="false" customHeight="false" outlineLevel="0" collapsed="false">
      <c r="B24" s="0" t="s">
        <v>178</v>
      </c>
      <c r="C24" s="13" t="n">
        <v>1175</v>
      </c>
      <c r="E24" s="8" t="s">
        <v>179</v>
      </c>
    </row>
    <row r="25" customFormat="false" ht="15" hidden="false" customHeight="false" outlineLevel="0" collapsed="false">
      <c r="B25" s="0" t="s">
        <v>180</v>
      </c>
      <c r="C25" s="13" t="n">
        <v>1250</v>
      </c>
      <c r="E25" s="8" t="s">
        <v>181</v>
      </c>
    </row>
    <row r="26" customFormat="false" ht="15" hidden="false" customHeight="false" outlineLevel="0" collapsed="false">
      <c r="B26" s="0" t="s">
        <v>182</v>
      </c>
      <c r="C26" s="26" t="n">
        <f aca="false">0.2*11+0.4*11+2*14+6*11+6*5+6*10</f>
        <v>190.6</v>
      </c>
      <c r="E26" s="8" t="s">
        <v>183</v>
      </c>
    </row>
    <row r="27" customFormat="false" ht="15" hidden="false" customHeight="false" outlineLevel="0" collapsed="false">
      <c r="B27" s="4" t="s">
        <v>184</v>
      </c>
      <c r="C27" s="5"/>
      <c r="D27" s="5"/>
      <c r="E27" s="5"/>
    </row>
    <row r="28" customFormat="false" ht="15" hidden="false" customHeight="false" outlineLevel="0" collapsed="false">
      <c r="B28" s="0" t="s">
        <v>185</v>
      </c>
      <c r="C28" s="13" t="n">
        <v>600</v>
      </c>
      <c r="E28" s="8" t="s">
        <v>186</v>
      </c>
    </row>
    <row r="29" customFormat="false" ht="15" hidden="false" customHeight="false" outlineLevel="0" collapsed="false">
      <c r="B29" s="0" t="s">
        <v>187</v>
      </c>
      <c r="C29" s="13" t="n">
        <v>700</v>
      </c>
      <c r="E29" s="8" t="s">
        <v>188</v>
      </c>
    </row>
    <row r="30" customFormat="false" ht="15" hidden="false" customHeight="false" outlineLevel="0" collapsed="false">
      <c r="B30" s="0" t="s">
        <v>189</v>
      </c>
      <c r="C30" s="13" t="n">
        <v>1000</v>
      </c>
      <c r="E30" s="8" t="s">
        <v>190</v>
      </c>
    </row>
    <row r="31" customFormat="false" ht="15" hidden="false" customHeight="false" outlineLevel="0" collapsed="false">
      <c r="B31" s="0" t="s">
        <v>191</v>
      </c>
      <c r="C31" s="13" t="n">
        <v>1800</v>
      </c>
      <c r="E31" s="8" t="s">
        <v>192</v>
      </c>
    </row>
    <row r="32" customFormat="false" ht="15" hidden="false" customHeight="false" outlineLevel="0" collapsed="false">
      <c r="B32" s="4" t="s">
        <v>193</v>
      </c>
      <c r="C32" s="5"/>
      <c r="D32" s="5"/>
      <c r="E32" s="5"/>
    </row>
    <row r="33" customFormat="false" ht="15" hidden="false" customHeight="false" outlineLevel="0" collapsed="false">
      <c r="B33" s="0" t="s">
        <v>194</v>
      </c>
      <c r="C33" s="13" t="n">
        <v>6400</v>
      </c>
      <c r="E33" s="8" t="s">
        <v>195</v>
      </c>
    </row>
    <row r="34" customFormat="false" ht="15" hidden="false" customHeight="false" outlineLevel="0" collapsed="false">
      <c r="B34" s="0" t="s">
        <v>196</v>
      </c>
      <c r="C34" s="13" t="n">
        <v>13500</v>
      </c>
      <c r="E34" s="8" t="s">
        <v>197</v>
      </c>
    </row>
    <row r="35" customFormat="false" ht="15" hidden="false" customHeight="false" outlineLevel="0" collapsed="false">
      <c r="B35" s="0" t="s">
        <v>198</v>
      </c>
      <c r="C35" s="13" t="n">
        <v>200</v>
      </c>
      <c r="E35" s="8" t="s">
        <v>199</v>
      </c>
    </row>
    <row r="36" customFormat="false" ht="15" hidden="false" customHeight="false" outlineLevel="0" collapsed="false">
      <c r="B36" s="0" t="s">
        <v>200</v>
      </c>
      <c r="C36" s="13" t="n">
        <v>1700</v>
      </c>
      <c r="E36" s="8" t="s">
        <v>201</v>
      </c>
    </row>
    <row r="37" customFormat="false" ht="15" hidden="false" customHeight="false" outlineLevel="0" collapsed="false">
      <c r="B37" s="0" t="s">
        <v>202</v>
      </c>
      <c r="C37" s="13" t="n">
        <v>6300</v>
      </c>
      <c r="E37" s="8" t="s">
        <v>203</v>
      </c>
    </row>
    <row r="38" customFormat="false" ht="15" hidden="false" customHeight="false" outlineLevel="0" collapsed="false">
      <c r="B38" s="0" t="s">
        <v>204</v>
      </c>
      <c r="C38" s="9" t="n">
        <v>0.37</v>
      </c>
      <c r="E38" s="8" t="s">
        <v>205</v>
      </c>
    </row>
    <row r="39" customFormat="false" ht="15" hidden="false" customHeight="false" outlineLevel="0" collapsed="false">
      <c r="B39" s="4" t="s">
        <v>206</v>
      </c>
      <c r="C39" s="5"/>
      <c r="D39" s="5"/>
      <c r="E39" s="5"/>
    </row>
    <row r="40" customFormat="false" ht="15" hidden="false" customHeight="false" outlineLevel="0" collapsed="false">
      <c r="B40" s="0" t="s">
        <v>207</v>
      </c>
      <c r="C40" s="9" t="n">
        <v>5.5</v>
      </c>
      <c r="E40" s="8" t="s">
        <v>208</v>
      </c>
    </row>
    <row r="41" customFormat="false" ht="15" hidden="false" customHeight="false" outlineLevel="0" collapsed="false">
      <c r="B41" s="0" t="s">
        <v>209</v>
      </c>
      <c r="C41" s="9" t="n">
        <v>7</v>
      </c>
      <c r="E41" s="8" t="s">
        <v>208</v>
      </c>
    </row>
    <row r="42" customFormat="false" ht="15" hidden="false" customHeight="false" outlineLevel="0" collapsed="false">
      <c r="B42" s="0" t="s">
        <v>210</v>
      </c>
      <c r="C42" s="9" t="n">
        <v>7</v>
      </c>
      <c r="E42" s="8" t="s">
        <v>211</v>
      </c>
    </row>
    <row r="43" customFormat="false" ht="15" hidden="false" customHeight="false" outlineLevel="0" collapsed="false">
      <c r="B43" s="0" t="s">
        <v>212</v>
      </c>
      <c r="C43" s="9" t="n">
        <v>0.5</v>
      </c>
      <c r="E43" s="8" t="s">
        <v>213</v>
      </c>
    </row>
    <row r="44" customFormat="false" ht="15" hidden="false" customHeight="false" outlineLevel="0" collapsed="false">
      <c r="B44" s="0" t="s">
        <v>214</v>
      </c>
      <c r="C44" s="9" t="n">
        <v>0.5</v>
      </c>
      <c r="E44" s="8" t="s">
        <v>213</v>
      </c>
    </row>
    <row r="45" customFormat="false" ht="15" hidden="false" customHeight="false" outlineLevel="0" collapsed="false">
      <c r="B45" s="0" t="s">
        <v>215</v>
      </c>
      <c r="C45" s="9" t="n">
        <v>0.5</v>
      </c>
      <c r="E45" s="8" t="s">
        <v>216</v>
      </c>
    </row>
    <row r="46" customFormat="false" ht="15" hidden="false" customHeight="false" outlineLevel="0" collapsed="false">
      <c r="B46" s="0" t="s">
        <v>217</v>
      </c>
      <c r="C46" s="13" t="n">
        <v>2400</v>
      </c>
      <c r="E46" s="8" t="s">
        <v>218</v>
      </c>
    </row>
    <row r="47" customFormat="false" ht="15" hidden="false" customHeight="false" outlineLevel="0" collapsed="false">
      <c r="B47" s="0" t="s">
        <v>219</v>
      </c>
      <c r="C47" s="9" t="n">
        <v>5</v>
      </c>
      <c r="E47" s="8" t="s">
        <v>220</v>
      </c>
    </row>
    <row r="48" customFormat="false" ht="15" hidden="false" customHeight="false" outlineLevel="0" collapsed="false">
      <c r="B48" s="0" t="s">
        <v>221</v>
      </c>
      <c r="C48" s="9" t="n">
        <v>0.6</v>
      </c>
      <c r="E48" s="8" t="s">
        <v>220</v>
      </c>
    </row>
    <row r="49" customFormat="false" ht="15" hidden="false" customHeight="false" outlineLevel="0" collapsed="false">
      <c r="B49" s="0" t="s">
        <v>222</v>
      </c>
      <c r="C49" s="9" t="n">
        <v>5</v>
      </c>
      <c r="E49" s="8" t="s">
        <v>223</v>
      </c>
    </row>
    <row r="50" customFormat="false" ht="15" hidden="false" customHeight="false" outlineLevel="0" collapsed="false">
      <c r="B50" s="4" t="s">
        <v>224</v>
      </c>
      <c r="C50" s="5"/>
      <c r="D50" s="5"/>
      <c r="E50" s="5"/>
    </row>
    <row r="51" customFormat="false" ht="15" hidden="false" customHeight="false" outlineLevel="0" collapsed="false">
      <c r="B51" s="0" t="s">
        <v>225</v>
      </c>
      <c r="C51" s="9" t="n">
        <v>50</v>
      </c>
      <c r="E51" s="8" t="s">
        <v>226</v>
      </c>
    </row>
    <row r="52" customFormat="false" ht="15" hidden="false" customHeight="false" outlineLevel="0" collapsed="false">
      <c r="B52" s="0" t="s">
        <v>227</v>
      </c>
      <c r="C52" s="9" t="n">
        <v>20</v>
      </c>
      <c r="E52" s="8" t="s">
        <v>228</v>
      </c>
    </row>
    <row r="53" customFormat="false" ht="15" hidden="false" customHeight="false" outlineLevel="0" collapsed="false">
      <c r="B53" s="0" t="s">
        <v>229</v>
      </c>
      <c r="C53" s="9" t="n">
        <v>650</v>
      </c>
      <c r="E53" s="8" t="s">
        <v>230</v>
      </c>
    </row>
    <row r="54" customFormat="false" ht="15" hidden="false" customHeight="false" outlineLevel="0" collapsed="false">
      <c r="B54" s="0" t="s">
        <v>231</v>
      </c>
      <c r="C54" s="9" t="n">
        <v>12</v>
      </c>
      <c r="E54" s="8" t="s">
        <v>232</v>
      </c>
    </row>
    <row r="55" customFormat="false" ht="15" hidden="false" customHeight="false" outlineLevel="0" collapsed="false">
      <c r="B55" s="0" t="s">
        <v>233</v>
      </c>
      <c r="C55" s="26" t="n">
        <v>9.4</v>
      </c>
      <c r="E55" s="8" t="s">
        <v>232</v>
      </c>
    </row>
    <row r="56" customFormat="false" ht="15" hidden="false" customHeight="false" outlineLevel="0" collapsed="false">
      <c r="B56" s="0" t="s">
        <v>234</v>
      </c>
      <c r="C56" s="9" t="n">
        <v>1</v>
      </c>
      <c r="E56" s="8" t="s">
        <v>235</v>
      </c>
    </row>
    <row r="57" customFormat="false" ht="15" hidden="false" customHeight="false" outlineLevel="0" collapsed="false">
      <c r="B57" s="0" t="s">
        <v>236</v>
      </c>
      <c r="C57" s="9" t="n">
        <v>2</v>
      </c>
      <c r="E57" s="8" t="s">
        <v>237</v>
      </c>
    </row>
    <row r="58" customFormat="false" ht="15" hidden="false" customHeight="false" outlineLevel="0" collapsed="false">
      <c r="B58" s="4" t="s">
        <v>238</v>
      </c>
      <c r="C58" s="5"/>
      <c r="D58" s="5"/>
      <c r="E58" s="5"/>
    </row>
    <row r="59" customFormat="false" ht="15" hidden="false" customHeight="false" outlineLevel="0" collapsed="false">
      <c r="B59" s="0" t="s">
        <v>239</v>
      </c>
      <c r="C59" s="13" t="n">
        <v>500</v>
      </c>
      <c r="E59" s="8" t="s">
        <v>240</v>
      </c>
    </row>
    <row r="60" customFormat="false" ht="15" hidden="false" customHeight="false" outlineLevel="0" collapsed="false">
      <c r="B60" s="0" t="s">
        <v>241</v>
      </c>
      <c r="C60" s="13" t="n">
        <v>400</v>
      </c>
      <c r="E60" s="8" t="s">
        <v>242</v>
      </c>
    </row>
    <row r="61" customFormat="false" ht="15" hidden="false" customHeight="false" outlineLevel="0" collapsed="false">
      <c r="B61" s="0" t="s">
        <v>243</v>
      </c>
      <c r="C61" s="13" t="n">
        <v>350</v>
      </c>
      <c r="E61" s="8" t="s">
        <v>244</v>
      </c>
    </row>
    <row r="62" customFormat="false" ht="15" hidden="false" customHeight="false" outlineLevel="0" collapsed="false">
      <c r="B62" s="0" t="s">
        <v>245</v>
      </c>
      <c r="C62" s="13" t="n">
        <v>45</v>
      </c>
      <c r="E62" s="8" t="s">
        <v>246</v>
      </c>
    </row>
    <row r="63" customFormat="false" ht="15" hidden="false" customHeight="false" outlineLevel="0" collapsed="false">
      <c r="B63" s="0" t="s">
        <v>247</v>
      </c>
      <c r="C63" s="13" t="n">
        <v>130</v>
      </c>
      <c r="E63" s="8" t="s">
        <v>248</v>
      </c>
    </row>
    <row r="64" customFormat="false" ht="15" hidden="false" customHeight="false" outlineLevel="0" collapsed="false">
      <c r="B64" s="4" t="s">
        <v>249</v>
      </c>
      <c r="C64" s="5"/>
      <c r="D64" s="5"/>
      <c r="E64" s="5"/>
    </row>
    <row r="65" customFormat="false" ht="15" hidden="false" customHeight="false" outlineLevel="0" collapsed="false">
      <c r="B65" s="0" t="s">
        <v>250</v>
      </c>
      <c r="C65" s="14" t="n">
        <v>0.005</v>
      </c>
      <c r="E65" s="8" t="s">
        <v>251</v>
      </c>
    </row>
    <row r="66" customFormat="false" ht="15" hidden="false" customHeight="false" outlineLevel="0" collapsed="false">
      <c r="B66" s="0" t="s">
        <v>252</v>
      </c>
      <c r="C66" s="14" t="n">
        <v>0.025</v>
      </c>
      <c r="E66" s="8" t="s">
        <v>253</v>
      </c>
    </row>
    <row r="67" customFormat="false" ht="15" hidden="false" customHeight="false" outlineLevel="0" collapsed="false">
      <c r="B67" s="0" t="s">
        <v>254</v>
      </c>
      <c r="C67" s="14" t="n">
        <v>0.14</v>
      </c>
      <c r="E67" s="8" t="s">
        <v>255</v>
      </c>
    </row>
    <row r="69" customFormat="false" ht="15" hidden="false" customHeight="false" outlineLevel="0" collapsed="false">
      <c r="B69" s="4" t="s">
        <v>256</v>
      </c>
      <c r="C69" s="5"/>
      <c r="D69" s="5"/>
      <c r="E69" s="5"/>
    </row>
    <row r="70" customFormat="false" ht="15" hidden="false" customHeight="false" outlineLevel="0" collapsed="false">
      <c r="B70" s="11" t="s">
        <v>257</v>
      </c>
      <c r="C70" s="11" t="s">
        <v>258</v>
      </c>
      <c r="D70" s="11" t="s">
        <v>259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260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261</v>
      </c>
      <c r="C82" s="11" t="s">
        <v>262</v>
      </c>
      <c r="D82" s="11" t="s">
        <v>263</v>
      </c>
      <c r="E82" s="11" t="s">
        <v>264</v>
      </c>
      <c r="F82" s="11" t="s">
        <v>265</v>
      </c>
    </row>
    <row r="83" customFormat="false" ht="15" hidden="false" customHeight="false" outlineLevel="0" collapsed="false">
      <c r="B83" s="0" t="s">
        <v>266</v>
      </c>
      <c r="C83" s="29" t="n">
        <v>45</v>
      </c>
      <c r="D83" s="28" t="n">
        <v>9.6</v>
      </c>
      <c r="E83" s="28" t="n">
        <v>9.6</v>
      </c>
      <c r="F83" s="30" t="s">
        <v>267</v>
      </c>
    </row>
    <row r="84" customFormat="false" ht="15" hidden="false" customHeight="false" outlineLevel="0" collapsed="false">
      <c r="B84" s="0" t="s">
        <v>268</v>
      </c>
      <c r="C84" s="29" t="n">
        <v>8</v>
      </c>
      <c r="D84" s="28" t="n">
        <v>4</v>
      </c>
      <c r="E84" s="28" t="n">
        <v>4</v>
      </c>
      <c r="F84" s="30" t="s">
        <v>267</v>
      </c>
    </row>
    <row r="85" customFormat="false" ht="15" hidden="false" customHeight="false" outlineLevel="0" collapsed="false">
      <c r="B85" s="0" t="s">
        <v>269</v>
      </c>
      <c r="C85" s="29" t="n">
        <v>36</v>
      </c>
      <c r="D85" s="28" t="n">
        <v>2</v>
      </c>
      <c r="E85" s="28" t="n">
        <v>2</v>
      </c>
      <c r="F85" s="30" t="s">
        <v>267</v>
      </c>
    </row>
    <row r="86" customFormat="false" ht="15" hidden="false" customHeight="false" outlineLevel="0" collapsed="false">
      <c r="B86" s="0" t="s">
        <v>270</v>
      </c>
      <c r="C86" s="29" t="n">
        <v>90</v>
      </c>
      <c r="D86" s="28" t="n">
        <v>2</v>
      </c>
      <c r="E86" s="28" t="n">
        <v>2</v>
      </c>
      <c r="F86" s="30" t="s">
        <v>267</v>
      </c>
    </row>
    <row r="87" customFormat="false" ht="15" hidden="false" customHeight="false" outlineLevel="0" collapsed="false">
      <c r="B87" s="0" t="s">
        <v>271</v>
      </c>
      <c r="C87" s="29" t="n">
        <v>207.28</v>
      </c>
      <c r="D87" s="28" t="n">
        <v>2</v>
      </c>
      <c r="E87" s="28" t="n">
        <v>2</v>
      </c>
      <c r="F87" s="30" t="s">
        <v>267</v>
      </c>
    </row>
    <row r="88" customFormat="false" ht="15" hidden="false" customHeight="false" outlineLevel="0" collapsed="false">
      <c r="B88" s="0" t="s">
        <v>272</v>
      </c>
      <c r="C88" s="29" t="n">
        <v>40.14</v>
      </c>
      <c r="D88" s="28" t="n">
        <v>2</v>
      </c>
      <c r="E88" s="28" t="n">
        <v>2</v>
      </c>
      <c r="F88" s="30" t="s">
        <v>267</v>
      </c>
    </row>
    <row r="89" customFormat="false" ht="15" hidden="false" customHeight="false" outlineLevel="0" collapsed="false">
      <c r="B89" s="0" t="s">
        <v>273</v>
      </c>
      <c r="C89" s="29" t="n">
        <v>3.3</v>
      </c>
      <c r="D89" s="28" t="n">
        <v>2</v>
      </c>
      <c r="E89" s="28" t="n">
        <v>2</v>
      </c>
      <c r="F89" s="30" t="s">
        <v>267</v>
      </c>
    </row>
    <row r="90" customFormat="false" ht="15" hidden="false" customHeight="false" outlineLevel="0" collapsed="false">
      <c r="B90" s="0" t="s">
        <v>274</v>
      </c>
      <c r="C90" s="29" t="n">
        <v>10.8</v>
      </c>
      <c r="D90" s="28" t="n">
        <v>2</v>
      </c>
      <c r="E90" s="28" t="n">
        <v>2</v>
      </c>
      <c r="F90" s="30" t="s">
        <v>267</v>
      </c>
    </row>
    <row r="91" customFormat="false" ht="15" hidden="false" customHeight="false" outlineLevel="0" collapsed="false">
      <c r="B91" s="0" t="s">
        <v>275</v>
      </c>
      <c r="C91" s="29" t="n">
        <v>10.95</v>
      </c>
      <c r="D91" s="28" t="n">
        <v>2</v>
      </c>
      <c r="E91" s="28" t="n">
        <v>2</v>
      </c>
      <c r="F91" s="30" t="s">
        <v>267</v>
      </c>
    </row>
    <row r="92" customFormat="false" ht="15" hidden="false" customHeight="false" outlineLevel="0" collapsed="false">
      <c r="B92" s="0" t="s">
        <v>276</v>
      </c>
      <c r="C92" s="29" t="n">
        <v>3.81</v>
      </c>
      <c r="D92" s="28" t="n">
        <v>2</v>
      </c>
      <c r="E92" s="28" t="n">
        <v>2</v>
      </c>
      <c r="F92" s="30" t="s">
        <v>267</v>
      </c>
    </row>
    <row r="93" customFormat="false" ht="15" hidden="false" customHeight="false" outlineLevel="0" collapsed="false">
      <c r="B93" s="0" t="s">
        <v>277</v>
      </c>
      <c r="C93" s="29" t="n">
        <v>2.84</v>
      </c>
      <c r="D93" s="28" t="n">
        <v>4</v>
      </c>
      <c r="E93" s="28" t="n">
        <v>4</v>
      </c>
      <c r="F93" s="30" t="s">
        <v>267</v>
      </c>
    </row>
    <row r="94" customFormat="false" ht="15" hidden="false" customHeight="false" outlineLevel="0" collapsed="false">
      <c r="B94" s="0" t="s">
        <v>278</v>
      </c>
      <c r="C94" s="29" t="n">
        <v>4.4</v>
      </c>
      <c r="D94" s="28" t="n">
        <v>4</v>
      </c>
      <c r="E94" s="28" t="n">
        <v>4</v>
      </c>
      <c r="F94" s="30" t="s">
        <v>267</v>
      </c>
    </row>
    <row r="95" customFormat="false" ht="15" hidden="false" customHeight="false" outlineLevel="0" collapsed="false">
      <c r="B95" s="0" t="s">
        <v>279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267</v>
      </c>
    </row>
    <row r="96" customFormat="false" ht="15" hidden="false" customHeight="false" outlineLevel="0" collapsed="false">
      <c r="B96" s="0" t="s">
        <v>280</v>
      </c>
      <c r="C96" s="29" t="n">
        <v>345</v>
      </c>
      <c r="D96" s="28" t="n">
        <v>1</v>
      </c>
      <c r="E96" s="28" t="n">
        <v>0</v>
      </c>
      <c r="F96" s="30" t="s">
        <v>267</v>
      </c>
    </row>
    <row r="97" customFormat="false" ht="15" hidden="false" customHeight="false" outlineLevel="0" collapsed="false">
      <c r="B97" s="0" t="s">
        <v>281</v>
      </c>
      <c r="C97" s="29" t="n">
        <v>546</v>
      </c>
      <c r="D97" s="28" t="n">
        <v>0</v>
      </c>
      <c r="E97" s="28" t="n">
        <v>1</v>
      </c>
      <c r="F97" s="30" t="s">
        <v>267</v>
      </c>
    </row>
    <row r="98" customFormat="false" ht="15" hidden="false" customHeight="false" outlineLevel="0" collapsed="false">
      <c r="B98" s="0" t="s">
        <v>282</v>
      </c>
      <c r="C98" s="29" t="n">
        <v>2.98</v>
      </c>
      <c r="D98" s="28" t="n">
        <v>110</v>
      </c>
      <c r="E98" s="28" t="n">
        <v>208</v>
      </c>
      <c r="F98" s="30" t="s">
        <v>267</v>
      </c>
    </row>
    <row r="99" customFormat="false" ht="15" hidden="false" customHeight="false" outlineLevel="0" collapsed="false">
      <c r="B99" s="0" t="s">
        <v>283</v>
      </c>
      <c r="C99" s="29" t="n">
        <f aca="false">3.09+4.99</f>
        <v>8.08</v>
      </c>
      <c r="D99" s="28" t="n">
        <v>20</v>
      </c>
      <c r="E99" s="28" t="n">
        <v>20</v>
      </c>
      <c r="F99" s="30" t="s">
        <v>267</v>
      </c>
    </row>
    <row r="100" customFormat="false" ht="15" hidden="false" customHeight="false" outlineLevel="0" collapsed="false">
      <c r="B100" s="0" t="s">
        <v>284</v>
      </c>
      <c r="C100" s="29" t="n">
        <v>5.4</v>
      </c>
      <c r="D100" s="28" t="n">
        <v>1</v>
      </c>
      <c r="E100" s="28" t="n">
        <v>1</v>
      </c>
      <c r="F100" s="30" t="s">
        <v>267</v>
      </c>
    </row>
    <row r="101" customFormat="false" ht="15" hidden="false" customHeight="false" outlineLevel="0" collapsed="false">
      <c r="B101" s="0" t="s">
        <v>285</v>
      </c>
      <c r="C101" s="29" t="n">
        <v>300</v>
      </c>
      <c r="D101" s="28" t="n">
        <v>1</v>
      </c>
      <c r="E101" s="28" t="n">
        <v>1</v>
      </c>
      <c r="F101" s="30" t="s">
        <v>267</v>
      </c>
    </row>
    <row r="102" customFormat="false" ht="15" hidden="false" customHeight="false" outlineLevel="0" collapsed="false">
      <c r="B102" s="0" t="s">
        <v>286</v>
      </c>
      <c r="C102" s="29" t="n">
        <v>40</v>
      </c>
      <c r="D102" s="28" t="n">
        <v>1</v>
      </c>
      <c r="E102" s="28" t="n">
        <v>1</v>
      </c>
      <c r="F102" s="30" t="s">
        <v>267</v>
      </c>
    </row>
    <row r="103" customFormat="false" ht="15" hidden="false" customHeight="false" outlineLevel="0" collapsed="false">
      <c r="B103" s="0" t="s">
        <v>287</v>
      </c>
      <c r="C103" s="29" t="n">
        <v>172</v>
      </c>
      <c r="D103" s="28" t="n">
        <v>1</v>
      </c>
      <c r="E103" s="28" t="n">
        <v>0</v>
      </c>
      <c r="F103" s="30" t="s">
        <v>166</v>
      </c>
    </row>
    <row r="104" customFormat="false" ht="15" hidden="false" customHeight="false" outlineLevel="0" collapsed="false">
      <c r="B104" s="0" t="s">
        <v>288</v>
      </c>
      <c r="C104" s="29" t="n">
        <v>207</v>
      </c>
      <c r="D104" s="28" t="n">
        <v>0</v>
      </c>
      <c r="E104" s="28" t="n">
        <v>1</v>
      </c>
      <c r="F104" s="30" t="s">
        <v>166</v>
      </c>
    </row>
    <row r="105" customFormat="false" ht="15" hidden="false" customHeight="false" outlineLevel="0" collapsed="false">
      <c r="B105" s="0" t="s">
        <v>289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166</v>
      </c>
    </row>
    <row r="106" customFormat="false" ht="15" hidden="false" customHeight="false" outlineLevel="0" collapsed="false">
      <c r="B106" s="0" t="s">
        <v>290</v>
      </c>
      <c r="C106" s="29" t="n">
        <f aca="false">50+40</f>
        <v>90</v>
      </c>
      <c r="D106" s="28" t="n">
        <v>1</v>
      </c>
      <c r="E106" s="28" t="n">
        <v>1</v>
      </c>
      <c r="F106" s="30" t="s">
        <v>291</v>
      </c>
    </row>
    <row r="107" customFormat="false" ht="15" hidden="false" customHeight="false" outlineLevel="0" collapsed="false">
      <c r="B107" s="0" t="s">
        <v>292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291</v>
      </c>
    </row>
    <row r="108" customFormat="false" ht="15" hidden="false" customHeight="false" outlineLevel="0" collapsed="false">
      <c r="B108" s="0" t="s">
        <v>293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291</v>
      </c>
    </row>
    <row r="109" customFormat="false" ht="15" hidden="false" customHeight="false" outlineLevel="0" collapsed="false">
      <c r="B109" s="0" t="s">
        <v>294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296</v>
      </c>
      <c r="C4" s="5"/>
    </row>
    <row r="5" customFormat="false" ht="15" hidden="false" customHeight="false" outlineLevel="0" collapsed="false">
      <c r="B5" s="0" t="s">
        <v>297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298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299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300</v>
      </c>
      <c r="C8" s="32" t="n">
        <f aca="false">in_D+in_NP</f>
        <v>27</v>
      </c>
    </row>
    <row r="9" customFormat="false" ht="15" hidden="false" customHeight="false" outlineLevel="0" collapsed="false">
      <c r="B9" s="0" t="s">
        <v>301</v>
      </c>
      <c r="C9" s="32" t="n">
        <f aca="false">in_S+in_D+in_NP</f>
        <v>39</v>
      </c>
    </row>
    <row r="10" customFormat="false" ht="15" hidden="false" customHeight="false" outlineLevel="0" collapsed="false">
      <c r="B10" s="0" t="s">
        <v>302</v>
      </c>
      <c r="C10" s="32" t="n">
        <f aca="false">2*in_S+2*in_NP+4*in_D</f>
        <v>132</v>
      </c>
    </row>
    <row r="11" customFormat="false" ht="15" hidden="false" customHeight="false" outlineLevel="0" collapsed="false">
      <c r="B11" s="0" t="s">
        <v>303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248100</v>
      </c>
    </row>
    <row r="12" customFormat="false" ht="15" hidden="false" customHeight="false" outlineLevel="0" collapsed="false">
      <c r="B12" s="0" t="s">
        <v>304</v>
      </c>
      <c r="C12" s="31" t="n">
        <f aca="false">m_cena_D*in_D+c_szer_520*in_szer1_D+c_szer_540*in_szer2_D+SUMPRODUCT(in_gl_D,t_gl_doplata)+c_dl_500*in_dl500_D+m_cena_D*c_dl_wsp*10*in_dl540_D+m_cena_D*c_dl_wsp*20*in_dl550_D</f>
        <v>900450</v>
      </c>
    </row>
    <row r="13" customFormat="false" ht="15" hidden="false" customHeight="false" outlineLevel="0" collapsed="false">
      <c r="B13" s="0" t="s">
        <v>305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306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307</v>
      </c>
      <c r="C15" s="32" t="n">
        <f aca="false">SUMPRODUCT((t_gl_silownik=2250)*(in_gl_S+in_gl_D))</f>
        <v>39</v>
      </c>
    </row>
    <row r="16" customFormat="false" ht="15" hidden="false" customHeight="false" outlineLevel="0" collapsed="false">
      <c r="B16" s="0" t="s">
        <v>308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166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183462.2</v>
      </c>
    </row>
    <row r="18" customFormat="false" ht="15" hidden="false" customHeight="false" outlineLevel="0" collapsed="false">
      <c r="B18" s="0" t="s">
        <v>309</v>
      </c>
      <c r="C18" s="31" t="n">
        <f aca="false">in_barierki*c_barierka+in_maskownice*c_maskownica</f>
        <v>37600</v>
      </c>
    </row>
    <row r="19" customFormat="false" ht="15" hidden="false" customHeight="false" outlineLevel="0" collapsed="false">
      <c r="B19" s="0" t="s">
        <v>291</v>
      </c>
      <c r="C19" s="31" t="n">
        <f aca="false">in_agregaty*c_skrzynka_zasil+SUMPRODUCT((t_sk_grupa="Elektryka")*t_sk_cena*(t_sk_S*in_S+t_sk_D*m_DN))</f>
        <v>21268</v>
      </c>
    </row>
    <row r="20" customFormat="false" ht="15" hidden="false" customHeight="false" outlineLevel="0" collapsed="false">
      <c r="B20" s="0" t="s">
        <v>310</v>
      </c>
      <c r="C20" s="31" t="n">
        <f aca="false">in_agregaty*c_admin+SUMPRODUCT((t_sk_grupa="Mechanika")*t_sk_cena*(t_sk_S*in_S+t_sk_D*m_DN))</f>
        <v>126315.24</v>
      </c>
    </row>
    <row r="21" customFormat="false" ht="15" hidden="false" customHeight="false" outlineLevel="0" collapsed="false">
      <c r="B21" s="11" t="s">
        <v>311</v>
      </c>
      <c r="C21" s="33" t="n">
        <f aca="false">m_plat_S+m_plat_D+m_plat_NP+m_hydraulika+m_barierki+m_elektryka+m_mechanika</f>
        <v>1517195.44</v>
      </c>
    </row>
    <row r="22" customFormat="false" ht="15" hidden="false" customHeight="false" outlineLevel="0" collapsed="false">
      <c r="B22" s="11" t="s">
        <v>312</v>
      </c>
      <c r="C22" s="33" t="n">
        <f aca="false">m_suma_2000*(1+in_q2500)</f>
        <v>1623399.1208</v>
      </c>
    </row>
    <row r="23" customFormat="false" ht="15" hidden="false" customHeight="false" outlineLevel="0" collapsed="false">
      <c r="B23" s="0" t="s">
        <v>313</v>
      </c>
      <c r="C23" s="31" t="n">
        <f aca="false">c_mal_S*in_S+c_mal_D*m_DN+c_mal_bar*in_barierki</f>
        <v>452900</v>
      </c>
    </row>
    <row r="24" customFormat="false" ht="15" hidden="false" customHeight="false" outlineLevel="0" collapsed="false">
      <c r="B24" s="0" t="s">
        <v>314</v>
      </c>
      <c r="C24" s="34" t="n">
        <f aca="false">ROUNDUP(in_magistrala*c_osd_magistrala+(in_barierki+in_maskownice)*c_osd_barierka,0)</f>
        <v>47</v>
      </c>
    </row>
    <row r="25" customFormat="false" ht="15" hidden="false" customHeight="false" outlineLevel="0" collapsed="false">
      <c r="B25" s="0" t="s">
        <v>315</v>
      </c>
      <c r="C25" s="34" t="n">
        <f aca="false">m_utr_auto+in_utr_dod</f>
        <v>47</v>
      </c>
    </row>
    <row r="27" customFormat="false" ht="15" hidden="false" customHeight="false" outlineLevel="0" collapsed="false">
      <c r="B27" s="4" t="s">
        <v>316</v>
      </c>
      <c r="C27" s="5"/>
    </row>
    <row r="28" customFormat="false" ht="15" hidden="false" customHeight="false" outlineLevel="0" collapsed="false">
      <c r="B28" s="0" t="s">
        <v>317</v>
      </c>
      <c r="C28" s="35" t="b">
        <f aca="false">in_lok="Kraków"</f>
        <v>1</v>
      </c>
    </row>
    <row r="29" customFormat="false" ht="15" hidden="false" customHeight="false" outlineLevel="0" collapsed="false">
      <c r="B29" s="0" t="s">
        <v>318</v>
      </c>
      <c r="C29" s="34" t="n">
        <f aca="false">IF(ISBLANK(in_km_pom),IF(e_krk,c_km_krakow,in_km),in_km_pom)</f>
        <v>20</v>
      </c>
    </row>
    <row r="30" customFormat="false" ht="15" hidden="false" customHeight="false" outlineLevel="0" collapsed="false">
      <c r="B30" s="0" t="s">
        <v>319</v>
      </c>
      <c r="C30" s="34" t="n">
        <f aca="false">IF(ISBLANK(in_km_mon),IF(e_krk,c_km_krakow,in_km+c_km_dodatek),in_km_mon)</f>
        <v>20</v>
      </c>
    </row>
    <row r="31" customFormat="false" ht="15" hidden="false" customHeight="false" outlineLevel="0" collapsed="false">
      <c r="B31" s="0" t="s">
        <v>320</v>
      </c>
      <c r="C31" s="34" t="n">
        <f aca="false">IF(ISBLANK(in_rozl_dni),c_rozl_TIR*in_tir,in_rozl_dni)</f>
        <v>3</v>
      </c>
    </row>
    <row r="32" customFormat="false" ht="15" hidden="false" customHeight="false" outlineLevel="0" collapsed="false">
      <c r="B32" s="0" t="s">
        <v>321</v>
      </c>
      <c r="C32" s="34" t="n">
        <f aca="false">(c_pomiary_osoby+c_odbiory_osoby)*IF(in_wzor="Uproszczony",2*e_km_pom/c_km_dzien*1,(1+0.1*MAX(0,800-e_km_pom)/100)*e_km_pom*1/500)</f>
        <v>0.2136</v>
      </c>
    </row>
    <row r="33" customFormat="false" ht="15" hidden="false" customHeight="false" outlineLevel="0" collapsed="false">
      <c r="B33" s="0" t="s">
        <v>322</v>
      </c>
      <c r="C33" s="32" t="n">
        <f aca="false">ROUNDUP(m_DN/c_dzwig_D+in_S*c_dzwig_wspS/c_dzwig_D,0)</f>
        <v>7</v>
      </c>
    </row>
    <row r="34" customFormat="false" ht="15" hidden="false" customHeight="false" outlineLevel="0" collapsed="false">
      <c r="B34" s="0" t="s">
        <v>323</v>
      </c>
      <c r="C34" s="36" t="n">
        <f aca="false">(1+c_podatek*(c_gdw+in_zysk))/(1-(c_kob+c_gdw+in_zysk))</f>
        <v>1.21630952380952</v>
      </c>
    </row>
    <row r="36" customFormat="false" ht="15" hidden="false" customHeight="false" outlineLevel="0" collapsed="false">
      <c r="B36" s="4" t="s">
        <v>324</v>
      </c>
      <c r="C36" s="5"/>
      <c r="D36" s="5"/>
      <c r="E36" s="5"/>
      <c r="F36" s="5"/>
      <c r="G36" s="5"/>
      <c r="H36" s="5"/>
      <c r="I36" s="4" t="s">
        <v>325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326</v>
      </c>
      <c r="D37" s="37" t="s">
        <v>77</v>
      </c>
      <c r="E37" s="37" t="s">
        <v>81</v>
      </c>
      <c r="F37" s="37" t="s">
        <v>82</v>
      </c>
      <c r="G37" s="37" t="s">
        <v>83</v>
      </c>
      <c r="I37" s="37" t="s">
        <v>107</v>
      </c>
      <c r="J37" s="37" t="s">
        <v>108</v>
      </c>
      <c r="K37" s="37" t="s">
        <v>109</v>
      </c>
      <c r="L37" s="37" t="s">
        <v>110</v>
      </c>
      <c r="M37" s="37" t="s">
        <v>111</v>
      </c>
      <c r="N37" s="37" t="s">
        <v>112</v>
      </c>
    </row>
    <row r="38" customFormat="false" ht="15" hidden="false" customHeight="false" outlineLevel="0" collapsed="false">
      <c r="B38" s="0" t="s">
        <v>327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328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106</v>
      </c>
      <c r="D40" s="32" t="n">
        <f aca="false">in_osoby</f>
        <v>5</v>
      </c>
      <c r="E40" s="32" t="n">
        <f aca="false">in_osoby</f>
        <v>5</v>
      </c>
      <c r="F40" s="32" t="n">
        <f aca="false">in_osoby</f>
        <v>5</v>
      </c>
      <c r="G40" s="32" t="n">
        <f aca="false">in_osoby</f>
        <v>5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329</v>
      </c>
      <c r="D41" s="31" t="n">
        <f aca="false">(c_stawka_1+IF(D40&gt;=2,c_stawka_2,0)+MAX(0,D40-2)*c_stawka_n)/D40</f>
        <v>390</v>
      </c>
      <c r="E41" s="31" t="n">
        <f aca="false">(c_stawka_1+IF(E40&gt;=2,c_stawka_2,0)+MAX(0,E40-2)*c_stawka_n)/E40</f>
        <v>390</v>
      </c>
      <c r="F41" s="31" t="n">
        <f aca="false">(c_stawka_1+IF(F40&gt;=2,c_stawka_2,0)+MAX(0,F40-2)*c_stawka_n)/F40</f>
        <v>390</v>
      </c>
      <c r="G41" s="31" t="n">
        <f aca="false">(c_stawka_1+IF(G40&gt;=2,c_stawka_2,0)+MAX(0,G40-2)*c_stawka_n)/G40</f>
        <v>390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330</v>
      </c>
      <c r="D42" s="34" t="n">
        <f aca="false">c_osd_S*in_S+c_osd_D*in_D+c_osd_NP*in_NP+m_utr+D39*c_slupek_rbd*m_MP</f>
        <v>302</v>
      </c>
      <c r="E42" s="34" t="n">
        <f aca="false">c_osd_S*in_S+c_osd_D*in_D+c_osd_NP*in_NP+m_utr+E39*c_slupek_rbd*m_MP</f>
        <v>302</v>
      </c>
      <c r="F42" s="34" t="n">
        <f aca="false">c_osd_S*in_S+c_osd_D*in_D+c_osd_NP*in_NP+m_utr+F39*c_slupek_rbd*m_MP</f>
        <v>350.84</v>
      </c>
      <c r="G42" s="34" t="n">
        <f aca="false">c_osd_S*in_S+c_osd_D*in_D+c_osd_NP*in_NP+m_utr+G39*c_slupek_rbd*m_MP</f>
        <v>350.84</v>
      </c>
      <c r="I42" s="34" t="n">
        <f aca="false">c_osd_S*in_S+c_osd_D*in_D+c_osd_NP*in_NP+m_utr+I39*c_slupek_rbd*m_MP</f>
        <v>302</v>
      </c>
      <c r="J42" s="34" t="n">
        <f aca="false">c_osd_S*in_S+c_osd_D*in_D+c_osd_NP*in_NP+m_utr+J39*c_slupek_rbd*m_MP</f>
        <v>302</v>
      </c>
      <c r="K42" s="34" t="n">
        <f aca="false">c_osd_S*in_S+c_osd_D*in_D+c_osd_NP*in_NP+m_utr+K39*c_slupek_rbd*m_MP</f>
        <v>302</v>
      </c>
      <c r="L42" s="34" t="n">
        <f aca="false">c_osd_S*in_S+c_osd_D*in_D+c_osd_NP*in_NP+m_utr+L39*c_slupek_rbd*m_MP</f>
        <v>302</v>
      </c>
      <c r="M42" s="34" t="n">
        <f aca="false">c_osd_S*in_S+c_osd_D*in_D+c_osd_NP*in_NP+m_utr+M39*c_slupek_rbd*m_MP</f>
        <v>302</v>
      </c>
      <c r="N42" s="34" t="n">
        <f aca="false">c_osd_S*in_S+c_osd_D*in_D+c_osd_NP*in_NP+m_utr+N39*c_slupek_rbd*m_MP</f>
        <v>302</v>
      </c>
    </row>
    <row r="43" customFormat="false" ht="15" hidden="false" customHeight="false" outlineLevel="0" collapsed="false">
      <c r="B43" s="0" t="s">
        <v>331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64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64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74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74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155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104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79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64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54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47</v>
      </c>
    </row>
    <row r="44" customFormat="false" ht="15" hidden="false" customHeight="false" outlineLevel="0" collapsed="false">
      <c r="B44" s="0" t="s">
        <v>332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68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68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79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79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112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85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68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58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50</v>
      </c>
    </row>
    <row r="45" customFormat="false" ht="15" hidden="false" customHeight="false" outlineLevel="0" collapsed="false">
      <c r="B45" s="0" t="s">
        <v>333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69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69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79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79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166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112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85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69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58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50</v>
      </c>
    </row>
    <row r="46" customFormat="false" ht="15" hidden="false" customHeight="false" outlineLevel="0" collapsed="false">
      <c r="B46" s="0" t="s">
        <v>334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69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69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79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79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166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112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85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69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58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50</v>
      </c>
    </row>
    <row r="47" customFormat="false" ht="15" hidden="false" customHeight="false" outlineLevel="0" collapsed="false">
      <c r="B47" s="0" t="s">
        <v>335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69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69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79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79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166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112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85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69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58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50</v>
      </c>
    </row>
    <row r="48" customFormat="false" ht="15" hidden="false" customHeight="false" outlineLevel="0" collapsed="false">
      <c r="B48" s="11" t="s">
        <v>336</v>
      </c>
      <c r="D48" s="38" t="n">
        <f aca="false">IF(ISBLANK(in_wyjazdy),D47,in_wyjazdy)</f>
        <v>69</v>
      </c>
      <c r="E48" s="38" t="n">
        <f aca="false">IF(ISBLANK(in_wyjazdy),E47,in_wyjazdy)</f>
        <v>69</v>
      </c>
      <c r="F48" s="38" t="n">
        <f aca="false">IF(ISBLANK(in_wyjazdy),F47,in_wyjazdy)</f>
        <v>79</v>
      </c>
      <c r="G48" s="38" t="n">
        <f aca="false">IF(ISBLANK(in_wyjazdy),G47,in_wyjazdy)</f>
        <v>79</v>
      </c>
      <c r="I48" s="38" t="n">
        <f aca="false">IF(ISBLANK(in_wyjazdy),I47,in_wyjazdy)</f>
        <v>166</v>
      </c>
      <c r="J48" s="38" t="n">
        <f aca="false">IF(ISBLANK(in_wyjazdy),J47,in_wyjazdy)</f>
        <v>112</v>
      </c>
      <c r="K48" s="38" t="n">
        <f aca="false">IF(ISBLANK(in_wyjazdy),K47,in_wyjazdy)</f>
        <v>85</v>
      </c>
      <c r="L48" s="38" t="n">
        <f aca="false">IF(ISBLANK(in_wyjazdy),L47,in_wyjazdy)</f>
        <v>69</v>
      </c>
      <c r="M48" s="38" t="n">
        <f aca="false">IF(ISBLANK(in_wyjazdy),M47,in_wyjazdy)</f>
        <v>58</v>
      </c>
      <c r="N48" s="38" t="n">
        <f aca="false">IF(ISBLANK(in_wyjazdy),N47,in_wyjazdy)</f>
        <v>50</v>
      </c>
    </row>
    <row r="49" customFormat="false" ht="15" hidden="false" customHeight="false" outlineLevel="0" collapsed="false">
      <c r="B49" s="0" t="s">
        <v>337</v>
      </c>
      <c r="D49" s="34" t="n">
        <f aca="false">(e_podr_pom+D40*(e_rozl_dni+IF(in_wzor="Uproszczony",2*e_km_mon/c_km_dzien*D48,(1+0.1*MAX(0,800-e_km_mon)/100)*e_km_mon*D48/500)))</f>
        <v>39.7776</v>
      </c>
      <c r="E49" s="34" t="n">
        <f aca="false">(e_podr_pom+E40*(e_rozl_dni+IF(in_wzor="Uproszczony",2*e_km_mon/c_km_dzien*E48,(1+0.1*MAX(0,800-e_km_mon)/100)*e_km_mon*E48/500)))</f>
        <v>39.7776</v>
      </c>
      <c r="F49" s="34" t="n">
        <f aca="false">(e_podr_pom+F40*(e_rozl_dni+IF(in_wzor="Uproszczony",2*e_km_mon/c_km_dzien*F48,(1+0.1*MAX(0,800-e_km_mon)/100)*e_km_mon*F48/500)))</f>
        <v>43.3376</v>
      </c>
      <c r="G49" s="34" t="n">
        <f aca="false">(e_podr_pom+G40*(e_rozl_dni+IF(in_wzor="Uproszczony",2*e_km_mon/c_km_dzien*G48,(1+0.1*MAX(0,800-e_km_mon)/100)*e_km_mon*G48/500)))</f>
        <v>43.3376</v>
      </c>
      <c r="I49" s="34" t="n">
        <f aca="false">(e_podr_pom+I40*(e_rozl_dni+IF(in_wzor="Uproszczony",2*e_km_mon/c_km_dzien*I48,(1+0.1*MAX(0,800-e_km_mon)/100)*e_km_mon*I48/500)))</f>
        <v>29.852</v>
      </c>
      <c r="J49" s="34" t="n">
        <f aca="false">(e_podr_pom+J40*(e_rozl_dni+IF(in_wzor="Uproszczony",2*e_km_mon/c_km_dzien*J48,(1+0.1*MAX(0,800-e_km_mon)/100)*e_km_mon*J48/500)))</f>
        <v>33.1368</v>
      </c>
      <c r="K49" s="34" t="n">
        <f aca="false">(e_podr_pom+K40*(e_rozl_dni+IF(in_wzor="Uproszczony",2*e_km_mon/c_km_dzien*K48,(1+0.1*MAX(0,800-e_km_mon)/100)*e_km_mon*K48/500)))</f>
        <v>36.4216</v>
      </c>
      <c r="L49" s="34" t="n">
        <f aca="false">(e_podr_pom+L40*(e_rozl_dni+IF(in_wzor="Uproszczony",2*e_km_mon/c_km_dzien*L48,(1+0.1*MAX(0,800-e_km_mon)/100)*e_km_mon*L48/500)))</f>
        <v>39.7776</v>
      </c>
      <c r="M49" s="34" t="n">
        <f aca="false">(e_podr_pom+M40*(e_rozl_dni+IF(in_wzor="Uproszczony",2*e_km_mon/c_km_dzien*M48,(1+0.1*MAX(0,800-e_km_mon)/100)*e_km_mon*M48/500)))</f>
        <v>42.9912</v>
      </c>
      <c r="N49" s="34" t="n">
        <f aca="false">(e_podr_pom+N40*(e_rozl_dni+IF(in_wzor="Uproszczony",2*e_km_mon/c_km_dzien*N48,(1+0.1*MAX(0,800-e_km_mon)/100)*e_km_mon*N48/500)))</f>
        <v>46.1336</v>
      </c>
    </row>
    <row r="50" customFormat="false" ht="15" hidden="false" customHeight="false" outlineLevel="0" collapsed="false">
      <c r="B50" s="0" t="s">
        <v>99</v>
      </c>
      <c r="D50" s="34" t="n">
        <f aca="false">D42+D49</f>
        <v>341.7776</v>
      </c>
      <c r="E50" s="34" t="n">
        <f aca="false">E42+E49</f>
        <v>341.7776</v>
      </c>
      <c r="F50" s="34" t="n">
        <f aca="false">F42+F49</f>
        <v>394.1776</v>
      </c>
      <c r="G50" s="34" t="n">
        <f aca="false">G42+G49</f>
        <v>394.1776</v>
      </c>
      <c r="I50" s="34" t="n">
        <f aca="false">I42+I49</f>
        <v>331.852</v>
      </c>
      <c r="J50" s="34" t="n">
        <f aca="false">J42+J49</f>
        <v>335.1368</v>
      </c>
      <c r="K50" s="34" t="n">
        <f aca="false">K42+K49</f>
        <v>338.4216</v>
      </c>
      <c r="L50" s="34" t="n">
        <f aca="false">L42+L49</f>
        <v>341.7776</v>
      </c>
      <c r="M50" s="34" t="n">
        <f aca="false">M42+M49</f>
        <v>344.9912</v>
      </c>
      <c r="N50" s="34" t="n">
        <f aca="false">N42+N49</f>
        <v>348.1336</v>
      </c>
    </row>
    <row r="51" customFormat="false" ht="15" hidden="false" customHeight="false" outlineLevel="0" collapsed="false">
      <c r="B51" s="11" t="s">
        <v>338</v>
      </c>
      <c r="D51" s="38" t="n">
        <f aca="false">CEILING(D50/D40,1)</f>
        <v>69</v>
      </c>
      <c r="E51" s="38" t="n">
        <f aca="false">CEILING(E50/E40,1)</f>
        <v>69</v>
      </c>
      <c r="F51" s="38" t="n">
        <f aca="false">CEILING(F50/F40,1)</f>
        <v>79</v>
      </c>
      <c r="G51" s="38" t="n">
        <f aca="false">CEILING(G50/G40,1)</f>
        <v>79</v>
      </c>
      <c r="I51" s="38" t="n">
        <f aca="false">CEILING(I50/I40,1)</f>
        <v>166</v>
      </c>
      <c r="J51" s="38" t="n">
        <f aca="false">CEILING(J50/J40,1)</f>
        <v>112</v>
      </c>
      <c r="K51" s="38" t="n">
        <f aca="false">CEILING(K50/K40,1)</f>
        <v>85</v>
      </c>
      <c r="L51" s="38" t="n">
        <f aca="false">CEILING(L50/L40,1)</f>
        <v>69</v>
      </c>
      <c r="M51" s="38" t="n">
        <f aca="false">CEILING(M50/M40,1)</f>
        <v>58</v>
      </c>
      <c r="N51" s="38" t="n">
        <f aca="false">CEILING(N50/N40,1)</f>
        <v>50</v>
      </c>
    </row>
    <row r="52" customFormat="false" ht="15" hidden="false" customHeight="false" outlineLevel="0" collapsed="false">
      <c r="B52" s="11" t="s">
        <v>339</v>
      </c>
      <c r="D52" s="38" t="n">
        <f aca="false">IF(e_krk,CEILING(D51/c_dni_tydzien,1),D48)</f>
        <v>14</v>
      </c>
      <c r="E52" s="38" t="n">
        <f aca="false">IF(e_krk,CEILING(E51/c_dni_tydzien,1),E48)</f>
        <v>14</v>
      </c>
      <c r="F52" s="38" t="n">
        <f aca="false">IF(e_krk,CEILING(F51/c_dni_tydzien,1),F48)</f>
        <v>16</v>
      </c>
      <c r="G52" s="38" t="n">
        <f aca="false">IF(e_krk,CEILING(G51/c_dni_tydzien,1),G48)</f>
        <v>16</v>
      </c>
      <c r="I52" s="38" t="n">
        <f aca="false">IF(e_krk,CEILING(I51/c_dni_tydzien,1),I48)</f>
        <v>34</v>
      </c>
      <c r="J52" s="38" t="n">
        <f aca="false">IF(e_krk,CEILING(J51/c_dni_tydzien,1),J48)</f>
        <v>23</v>
      </c>
      <c r="K52" s="38" t="n">
        <f aca="false">IF(e_krk,CEILING(K51/c_dni_tydzien,1),K48)</f>
        <v>17</v>
      </c>
      <c r="L52" s="38" t="n">
        <f aca="false">IF(e_krk,CEILING(L51/c_dni_tydzien,1),L48)</f>
        <v>14</v>
      </c>
      <c r="M52" s="38" t="n">
        <f aca="false">IF(e_krk,CEILING(M51/c_dni_tydzien,1),M48)</f>
        <v>12</v>
      </c>
      <c r="N52" s="38" t="n">
        <f aca="false">IF(e_krk,CEILING(N51/c_dni_tydzien,1),N48)</f>
        <v>10</v>
      </c>
    </row>
    <row r="53" customFormat="false" ht="15" hidden="false" customHeight="false" outlineLevel="0" collapsed="false">
      <c r="B53" s="0" t="s">
        <v>340</v>
      </c>
      <c r="D53" s="34" t="n">
        <f aca="false">2*(e_km_mon*D48+2*e_km_pom)</f>
        <v>2840</v>
      </c>
      <c r="E53" s="34" t="n">
        <f aca="false">2*(e_km_mon*E48+2*e_km_pom)</f>
        <v>2840</v>
      </c>
      <c r="F53" s="34" t="n">
        <f aca="false">2*(e_km_mon*F48+2*e_km_pom)</f>
        <v>3240</v>
      </c>
      <c r="G53" s="34" t="n">
        <f aca="false">2*(e_km_mon*G48+2*e_km_pom)</f>
        <v>3240</v>
      </c>
      <c r="I53" s="34" t="n">
        <f aca="false">2*(e_km_mon*I48+2*e_km_pom)</f>
        <v>6720</v>
      </c>
      <c r="J53" s="34" t="n">
        <f aca="false">2*(e_km_mon*J48+2*e_km_pom)</f>
        <v>4560</v>
      </c>
      <c r="K53" s="34" t="n">
        <f aca="false">2*(e_km_mon*K48+2*e_km_pom)</f>
        <v>3480</v>
      </c>
      <c r="L53" s="34" t="n">
        <f aca="false">2*(e_km_mon*L48+2*e_km_pom)</f>
        <v>2840</v>
      </c>
      <c r="M53" s="34" t="n">
        <f aca="false">2*(e_km_mon*M48+2*e_km_pom)</f>
        <v>2400</v>
      </c>
      <c r="N53" s="34" t="n">
        <f aca="false">2*(e_km_mon*N48+2*e_km_pom)</f>
        <v>2080</v>
      </c>
    </row>
    <row r="54" customFormat="false" ht="15" hidden="false" customHeight="false" outlineLevel="0" collapsed="false">
      <c r="B54" s="0" t="s">
        <v>91</v>
      </c>
      <c r="D54" s="31" t="n">
        <f aca="false">IF(D38=1,m_suma_2500,m_suma_2000)</f>
        <v>1517195.44</v>
      </c>
      <c r="E54" s="31" t="n">
        <f aca="false">IF(E38=1,m_suma_2500,m_suma_2000)</f>
        <v>1623399.1208</v>
      </c>
      <c r="F54" s="31" t="n">
        <f aca="false">IF(F38=1,m_suma_2500,m_suma_2000)</f>
        <v>1517195.44</v>
      </c>
      <c r="G54" s="31" t="n">
        <f aca="false">IF(G38=1,m_suma_2500,m_suma_2000)</f>
        <v>1623399.1208</v>
      </c>
      <c r="I54" s="31" t="n">
        <f aca="false">IF(I38=1,m_suma_2500,m_suma_2000)</f>
        <v>1517195.44</v>
      </c>
      <c r="J54" s="31" t="n">
        <f aca="false">IF(J38=1,m_suma_2500,m_suma_2000)</f>
        <v>1517195.44</v>
      </c>
      <c r="K54" s="31" t="n">
        <f aca="false">IF(K38=1,m_suma_2500,m_suma_2000)</f>
        <v>1517195.44</v>
      </c>
      <c r="L54" s="31" t="n">
        <f aca="false">IF(L38=1,m_suma_2500,m_suma_2000)</f>
        <v>1517195.44</v>
      </c>
      <c r="M54" s="31" t="n">
        <f aca="false">IF(M38=1,m_suma_2500,m_suma_2000)</f>
        <v>1517195.44</v>
      </c>
      <c r="N54" s="31" t="n">
        <f aca="false">IF(N38=1,m_suma_2500,m_suma_2000)</f>
        <v>1517195.44</v>
      </c>
    </row>
    <row r="55" customFormat="false" ht="15" hidden="false" customHeight="false" outlineLevel="0" collapsed="false">
      <c r="B55" s="0" t="s">
        <v>92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224400</v>
      </c>
      <c r="G55" s="31" t="n">
        <f aca="false">G39*c_slupek*m_MP</f>
        <v>224400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341</v>
      </c>
      <c r="D56" s="31" t="n">
        <f aca="false">D53/100*ROUNDUP(c_spalanie*c_paliwo,0)</f>
        <v>3209.2</v>
      </c>
      <c r="E56" s="31" t="n">
        <f aca="false">E53/100*ROUNDUP(c_spalanie*c_paliwo,0)</f>
        <v>3209.2</v>
      </c>
      <c r="F56" s="31" t="n">
        <f aca="false">F53/100*ROUNDUP(c_spalanie*c_paliwo,0)</f>
        <v>3661.2</v>
      </c>
      <c r="G56" s="31" t="n">
        <f aca="false">G53/100*ROUNDUP(c_spalanie*c_paliwo,0)</f>
        <v>3661.2</v>
      </c>
      <c r="I56" s="31" t="n">
        <f aca="false">I53/100*ROUNDUP(c_spalanie*c_paliwo,0)</f>
        <v>7593.6</v>
      </c>
      <c r="J56" s="31" t="n">
        <f aca="false">J53/100*ROUNDUP(c_spalanie*c_paliwo,0)</f>
        <v>5152.8</v>
      </c>
      <c r="K56" s="31" t="n">
        <f aca="false">K53/100*ROUNDUP(c_spalanie*c_paliwo,0)</f>
        <v>3932.4</v>
      </c>
      <c r="L56" s="31" t="n">
        <f aca="false">L53/100*ROUNDUP(c_spalanie*c_paliwo,0)</f>
        <v>3209.2</v>
      </c>
      <c r="M56" s="31" t="n">
        <f aca="false">M53/100*ROUNDUP(c_spalanie*c_paliwo,0)</f>
        <v>2712</v>
      </c>
      <c r="N56" s="31" t="n">
        <f aca="false">N53/100*ROUNDUP(c_spalanie*c_paliwo,0)</f>
        <v>2350.4</v>
      </c>
    </row>
    <row r="57" customFormat="false" ht="15" hidden="false" customHeight="false" outlineLevel="0" collapsed="false">
      <c r="B57" s="0" t="s">
        <v>342</v>
      </c>
      <c r="D57" s="31" t="n">
        <f aca="false">IF(e_krk,0,c_hotel*(D51+1)*D40)</f>
        <v>0</v>
      </c>
      <c r="E57" s="31" t="n">
        <f aca="false">IF(e_krk,0,c_hotel*(E51+1)*E40)</f>
        <v>0</v>
      </c>
      <c r="F57" s="31" t="n">
        <f aca="false">IF(e_krk,0,c_hotel*(F51+1)*F40)</f>
        <v>0</v>
      </c>
      <c r="G57" s="31" t="n">
        <f aca="false">IF(e_krk,0,c_hotel*(G51+1)*G40)</f>
        <v>0</v>
      </c>
      <c r="I57" s="31" t="n">
        <f aca="false">IF(e_krk,0,c_hotel*(I51+1)*I40)</f>
        <v>0</v>
      </c>
      <c r="J57" s="31" t="n">
        <f aca="false">IF(e_krk,0,c_hotel*(J51+1)*J40)</f>
        <v>0</v>
      </c>
      <c r="K57" s="31" t="n">
        <f aca="false">IF(e_krk,0,c_hotel*(K51+1)*K40)</f>
        <v>0</v>
      </c>
      <c r="L57" s="31" t="n">
        <f aca="false">IF(e_krk,0,c_hotel*(L51+1)*L40)</f>
        <v>0</v>
      </c>
      <c r="M57" s="31" t="n">
        <f aca="false">IF(e_krk,0,c_hotel*(M51+1)*M40)</f>
        <v>0</v>
      </c>
      <c r="N57" s="31" t="n">
        <f aca="false">IF(e_krk,0,c_hotel*(N51+1)*N40)</f>
        <v>0</v>
      </c>
    </row>
    <row r="58" customFormat="false" ht="15" hidden="false" customHeight="false" outlineLevel="0" collapsed="false">
      <c r="B58" s="0" t="s">
        <v>343</v>
      </c>
      <c r="D58" s="31" t="n">
        <f aca="false">in_tir_cena*in_tir</f>
        <v>10800</v>
      </c>
      <c r="E58" s="31" t="n">
        <f aca="false">in_tir_cena*in_tir</f>
        <v>10800</v>
      </c>
      <c r="F58" s="31" t="n">
        <f aca="false">in_tir_cena*in_tir</f>
        <v>10800</v>
      </c>
      <c r="G58" s="31" t="n">
        <f aca="false">in_tir_cena*in_tir</f>
        <v>10800</v>
      </c>
      <c r="I58" s="31" t="n">
        <f aca="false">in_tir_cena*in_tir</f>
        <v>10800</v>
      </c>
      <c r="J58" s="31" t="n">
        <f aca="false">in_tir_cena*in_tir</f>
        <v>10800</v>
      </c>
      <c r="K58" s="31" t="n">
        <f aca="false">in_tir_cena*in_tir</f>
        <v>10800</v>
      </c>
      <c r="L58" s="31" t="n">
        <f aca="false">in_tir_cena*in_tir</f>
        <v>10800</v>
      </c>
      <c r="M58" s="31" t="n">
        <f aca="false">in_tir_cena*in_tir</f>
        <v>10800</v>
      </c>
      <c r="N58" s="31" t="n">
        <f aca="false">in_tir_cena*in_tir</f>
        <v>10800</v>
      </c>
    </row>
    <row r="59" customFormat="false" ht="15" hidden="false" customHeight="false" outlineLevel="0" collapsed="false">
      <c r="B59" s="0" t="s">
        <v>344</v>
      </c>
      <c r="D59" s="31" t="n">
        <f aca="false">IF(ISBLANK(in_dzwig_koszt),c_dzwig*e_dzw_dni,in_dzwig_koszt)</f>
        <v>16800</v>
      </c>
      <c r="E59" s="31" t="n">
        <f aca="false">IF(ISBLANK(in_dzwig_koszt),c_dzwig*e_dzw_dni,in_dzwig_koszt)</f>
        <v>16800</v>
      </c>
      <c r="F59" s="31" t="n">
        <f aca="false">IF(ISBLANK(in_dzwig_koszt),c_dzwig*e_dzw_dni,in_dzwig_koszt)</f>
        <v>16800</v>
      </c>
      <c r="G59" s="31" t="n">
        <f aca="false">IF(ISBLANK(in_dzwig_koszt),c_dzwig*e_dzw_dni,in_dzwig_koszt)</f>
        <v>16800</v>
      </c>
      <c r="I59" s="31" t="n">
        <f aca="false">IF(ISBLANK(in_dzwig_koszt),c_dzwig*e_dzw_dni,in_dzwig_koszt)</f>
        <v>16800</v>
      </c>
      <c r="J59" s="31" t="n">
        <f aca="false">IF(ISBLANK(in_dzwig_koszt),c_dzwig*e_dzw_dni,in_dzwig_koszt)</f>
        <v>16800</v>
      </c>
      <c r="K59" s="31" t="n">
        <f aca="false">IF(ISBLANK(in_dzwig_koszt),c_dzwig*e_dzw_dni,in_dzwig_koszt)</f>
        <v>16800</v>
      </c>
      <c r="L59" s="31" t="n">
        <f aca="false">IF(ISBLANK(in_dzwig_koszt),c_dzwig*e_dzw_dni,in_dzwig_koszt)</f>
        <v>16800</v>
      </c>
      <c r="M59" s="31" t="n">
        <f aca="false">IF(ISBLANK(in_dzwig_koszt),c_dzwig*e_dzw_dni,in_dzwig_koszt)</f>
        <v>16800</v>
      </c>
      <c r="N59" s="31" t="n">
        <f aca="false">IF(ISBLANK(in_dzwig_koszt),c_dzwig*e_dzw_dni,in_dzwig_koszt)</f>
        <v>16800</v>
      </c>
    </row>
    <row r="60" customFormat="false" ht="15" hidden="false" customHeight="false" outlineLevel="0" collapsed="false">
      <c r="B60" s="0" t="s">
        <v>345</v>
      </c>
      <c r="D60" s="31" t="n">
        <f aca="false">in_rozl_cena</f>
        <v>3000</v>
      </c>
      <c r="E60" s="31" t="n">
        <f aca="false">in_rozl_cena</f>
        <v>3000</v>
      </c>
      <c r="F60" s="31" t="n">
        <f aca="false">in_rozl_cena</f>
        <v>3000</v>
      </c>
      <c r="G60" s="31" t="n">
        <f aca="false">in_rozl_cena</f>
        <v>3000</v>
      </c>
      <c r="I60" s="31" t="n">
        <f aca="false">in_rozl_cena</f>
        <v>3000</v>
      </c>
      <c r="J60" s="31" t="n">
        <f aca="false">in_rozl_cena</f>
        <v>3000</v>
      </c>
      <c r="K60" s="31" t="n">
        <f aca="false">in_rozl_cena</f>
        <v>3000</v>
      </c>
      <c r="L60" s="31" t="n">
        <f aca="false">in_rozl_cena</f>
        <v>3000</v>
      </c>
      <c r="M60" s="31" t="n">
        <f aca="false">in_rozl_cena</f>
        <v>3000</v>
      </c>
      <c r="N60" s="31" t="n">
        <f aca="false">in_rozl_cena</f>
        <v>3000</v>
      </c>
    </row>
    <row r="61" customFormat="false" ht="15" hidden="false" customHeight="false" outlineLevel="0" collapsed="false">
      <c r="B61" s="0" t="s">
        <v>346</v>
      </c>
      <c r="D61" s="31" t="n">
        <f aca="false">D41*e_rozl_dni*D40</f>
        <v>5850</v>
      </c>
      <c r="E61" s="31" t="n">
        <f aca="false">E41*e_rozl_dni*E40</f>
        <v>5850</v>
      </c>
      <c r="F61" s="31" t="n">
        <f aca="false">F41*e_rozl_dni*F40</f>
        <v>5850</v>
      </c>
      <c r="G61" s="31" t="n">
        <f aca="false">G41*e_rozl_dni*G40</f>
        <v>5850</v>
      </c>
      <c r="I61" s="31" t="n">
        <f aca="false">I41*e_rozl_dni*I40</f>
        <v>2700</v>
      </c>
      <c r="J61" s="31" t="n">
        <f aca="false">J41*e_rozl_dni*J40</f>
        <v>3750</v>
      </c>
      <c r="K61" s="31" t="n">
        <f aca="false">K41*e_rozl_dni*K40</f>
        <v>4800</v>
      </c>
      <c r="L61" s="31" t="n">
        <f aca="false">L41*e_rozl_dni*L40</f>
        <v>5850</v>
      </c>
      <c r="M61" s="31" t="n">
        <f aca="false">M41*e_rozl_dni*M40</f>
        <v>6900</v>
      </c>
      <c r="N61" s="31" t="n">
        <f aca="false">N41*e_rozl_dni*N40</f>
        <v>7950</v>
      </c>
    </row>
    <row r="62" customFormat="false" ht="15" hidden="false" customHeight="false" outlineLevel="0" collapsed="false">
      <c r="B62" s="0" t="s">
        <v>347</v>
      </c>
      <c r="D62" s="31" t="n">
        <f aca="false">D41*(D49-D40*e_rozl_dni)</f>
        <v>9663.264</v>
      </c>
      <c r="E62" s="31" t="n">
        <f aca="false">E41*(E49-E40*e_rozl_dni)</f>
        <v>9663.264</v>
      </c>
      <c r="F62" s="31" t="n">
        <f aca="false">F41*(F49-F40*e_rozl_dni)</f>
        <v>11051.664</v>
      </c>
      <c r="G62" s="31" t="n">
        <f aca="false">G41*(G49-G40*e_rozl_dni)</f>
        <v>11051.664</v>
      </c>
      <c r="I62" s="31" t="n">
        <f aca="false">I41*(I49-I40*e_rozl_dni)</f>
        <v>10733.4</v>
      </c>
      <c r="J62" s="31" t="n">
        <f aca="false">J41*(J49-J40*e_rozl_dni)</f>
        <v>10057</v>
      </c>
      <c r="K62" s="31" t="n">
        <f aca="false">K41*(K49-K40*e_rozl_dni)</f>
        <v>9768.64</v>
      </c>
      <c r="L62" s="31" t="n">
        <f aca="false">L41*(L49-L40*e_rozl_dni)</f>
        <v>9663.264</v>
      </c>
      <c r="M62" s="31" t="n">
        <f aca="false">M41*(M49-M40*e_rozl_dni)</f>
        <v>9579.96</v>
      </c>
      <c r="N62" s="31" t="n">
        <f aca="false">N41*(N49-N40*e_rozl_dni)</f>
        <v>9514.86285714286</v>
      </c>
    </row>
    <row r="63" customFormat="false" ht="15" hidden="false" customHeight="false" outlineLevel="0" collapsed="false">
      <c r="B63" s="0" t="s">
        <v>348</v>
      </c>
      <c r="D63" s="31" t="n">
        <f aca="false">IF(D48&gt;0,D41*D42,0)</f>
        <v>117780</v>
      </c>
      <c r="E63" s="31" t="n">
        <f aca="false">IF(E48&gt;0,E41*E42,0)</f>
        <v>117780</v>
      </c>
      <c r="F63" s="31" t="n">
        <f aca="false">IF(F48&gt;0,F41*F42,0)</f>
        <v>136827.6</v>
      </c>
      <c r="G63" s="31" t="n">
        <f aca="false">IF(G48&gt;0,G41*G42,0)</f>
        <v>136827.6</v>
      </c>
      <c r="I63" s="31" t="n">
        <f aca="false">IF(I48&gt;0,I41*I42,0)</f>
        <v>135900</v>
      </c>
      <c r="J63" s="31" t="n">
        <f aca="false">IF(J48&gt;0,J41*J42,0)</f>
        <v>125833.333333333</v>
      </c>
      <c r="K63" s="31" t="n">
        <f aca="false">IF(K48&gt;0,K41*K42,0)</f>
        <v>120800</v>
      </c>
      <c r="L63" s="31" t="n">
        <f aca="false">IF(L48&gt;0,L41*L42,0)</f>
        <v>117780</v>
      </c>
      <c r="M63" s="31" t="n">
        <f aca="false">IF(M48&gt;0,M41*M42,0)</f>
        <v>115766.666666667</v>
      </c>
      <c r="N63" s="31" t="n">
        <f aca="false">IF(N48&gt;0,N41*N42,0)</f>
        <v>114328.571428571</v>
      </c>
    </row>
    <row r="64" customFormat="false" ht="15" hidden="false" customHeight="false" outlineLevel="0" collapsed="false">
      <c r="B64" s="0" t="s">
        <v>349</v>
      </c>
      <c r="D64" s="31" t="n">
        <f aca="false">IF(e_krk,0,c_dieta*D50)</f>
        <v>0</v>
      </c>
      <c r="E64" s="31" t="n">
        <f aca="false">IF(e_krk,0,c_dieta*E50)</f>
        <v>0</v>
      </c>
      <c r="F64" s="31" t="n">
        <f aca="false">IF(e_krk,0,c_dieta*F50)</f>
        <v>0</v>
      </c>
      <c r="G64" s="31" t="n">
        <f aca="false">IF(e_krk,0,c_dieta*G50)</f>
        <v>0</v>
      </c>
      <c r="I64" s="31" t="n">
        <f aca="false">IF(e_krk,0,c_dieta*I50)</f>
        <v>0</v>
      </c>
      <c r="J64" s="31" t="n">
        <f aca="false">IF(e_krk,0,c_dieta*J50)</f>
        <v>0</v>
      </c>
      <c r="K64" s="31" t="n">
        <f aca="false">IF(e_krk,0,c_dieta*K50)</f>
        <v>0</v>
      </c>
      <c r="L64" s="31" t="n">
        <f aca="false">IF(e_krk,0,c_dieta*L50)</f>
        <v>0</v>
      </c>
      <c r="M64" s="31" t="n">
        <f aca="false">IF(e_krk,0,c_dieta*M50)</f>
        <v>0</v>
      </c>
      <c r="N64" s="31" t="n">
        <f aca="false">IF(e_krk,0,c_dieta*N50)</f>
        <v>0</v>
      </c>
    </row>
    <row r="65" customFormat="false" ht="15" hidden="false" customHeight="false" outlineLevel="0" collapsed="false">
      <c r="B65" s="11" t="s">
        <v>350</v>
      </c>
      <c r="D65" s="33" t="n">
        <f aca="false">SUM(D54:D64)</f>
        <v>1684297.904</v>
      </c>
      <c r="E65" s="33" t="n">
        <f aca="false">SUM(E54:E64)</f>
        <v>1790501.5848</v>
      </c>
      <c r="F65" s="33" t="n">
        <f aca="false">SUM(F54:F64)</f>
        <v>1929585.904</v>
      </c>
      <c r="G65" s="33" t="n">
        <f aca="false">SUM(G54:G64)</f>
        <v>2035789.5848</v>
      </c>
      <c r="I65" s="33" t="n">
        <f aca="false">SUM(I54:I64)</f>
        <v>1704722.44</v>
      </c>
      <c r="J65" s="33" t="n">
        <f aca="false">SUM(J54:J64)</f>
        <v>1692588.57333333</v>
      </c>
      <c r="K65" s="33" t="n">
        <f aca="false">SUM(K54:K64)</f>
        <v>1687096.48</v>
      </c>
      <c r="L65" s="33" t="n">
        <f aca="false">SUM(L54:L64)</f>
        <v>1684297.904</v>
      </c>
      <c r="M65" s="33" t="n">
        <f aca="false">SUM(M54:M64)</f>
        <v>1682754.06666667</v>
      </c>
      <c r="N65" s="33" t="n">
        <f aca="false">SUM(N54:N64)</f>
        <v>1681939.27428571</v>
      </c>
    </row>
    <row r="66" customFormat="false" ht="15" hidden="false" customHeight="false" outlineLevel="0" collapsed="false">
      <c r="B66" s="0" t="s">
        <v>351</v>
      </c>
      <c r="D66" s="31" t="n">
        <f aca="false">D65/(1-(c_kob+c_gdw+in_zysk))</f>
        <v>2005116.55238095</v>
      </c>
      <c r="E66" s="31" t="n">
        <f aca="false">E65/(1-(c_kob+c_gdw+in_zysk))</f>
        <v>2131549.50571429</v>
      </c>
      <c r="F66" s="31" t="n">
        <f aca="false">F65/(1-(c_kob+c_gdw+in_zysk))</f>
        <v>2297126.07619048</v>
      </c>
      <c r="G66" s="31" t="n">
        <f aca="false">G65/(1-(c_kob+c_gdw+in_zysk))</f>
        <v>2423559.02952381</v>
      </c>
      <c r="I66" s="31" t="n">
        <f aca="false">I65/(1-(c_kob+c_gdw+in_zysk))</f>
        <v>2029431.47619048</v>
      </c>
      <c r="J66" s="31" t="n">
        <f aca="false">J65/(1-(c_kob+c_gdw+in_zysk))</f>
        <v>2014986.3968254</v>
      </c>
      <c r="K66" s="31" t="n">
        <f aca="false">K65/(1-(c_kob+c_gdw+in_zysk))</f>
        <v>2008448.19047619</v>
      </c>
      <c r="L66" s="31" t="n">
        <f aca="false">L65/(1-(c_kob+c_gdw+in_zysk))</f>
        <v>2005116.55238095</v>
      </c>
      <c r="M66" s="31" t="n">
        <f aca="false">M65/(1-(c_kob+c_gdw+in_zysk))</f>
        <v>2003278.65079365</v>
      </c>
      <c r="N66" s="31" t="n">
        <f aca="false">N65/(1-(c_kob+c_gdw+in_zysk))</f>
        <v>2002308.65986395</v>
      </c>
    </row>
    <row r="67" customFormat="false" ht="15" hidden="false" customHeight="false" outlineLevel="0" collapsed="false">
      <c r="B67" s="0" t="s">
        <v>352</v>
      </c>
      <c r="D67" s="31" t="n">
        <f aca="false">D66*c_kob</f>
        <v>10025.5827619048</v>
      </c>
      <c r="E67" s="31" t="n">
        <f aca="false">E66*c_kob</f>
        <v>10657.7475285714</v>
      </c>
      <c r="F67" s="31" t="n">
        <f aca="false">F66*c_kob</f>
        <v>11485.6303809524</v>
      </c>
      <c r="G67" s="31" t="n">
        <f aca="false">G66*c_kob</f>
        <v>12117.7951476191</v>
      </c>
      <c r="I67" s="31" t="n">
        <f aca="false">I66*c_kob</f>
        <v>10147.1573809524</v>
      </c>
      <c r="J67" s="31" t="n">
        <f aca="false">J66*c_kob</f>
        <v>10074.931984127</v>
      </c>
      <c r="K67" s="31" t="n">
        <f aca="false">K66*c_kob</f>
        <v>10042.240952381</v>
      </c>
      <c r="L67" s="31" t="n">
        <f aca="false">L66*c_kob</f>
        <v>10025.5827619048</v>
      </c>
      <c r="M67" s="31" t="n">
        <f aca="false">M66*c_kob</f>
        <v>10016.3932539683</v>
      </c>
      <c r="N67" s="31" t="n">
        <f aca="false">N66*c_kob</f>
        <v>10011.5432993197</v>
      </c>
    </row>
    <row r="68" customFormat="false" ht="15" hidden="false" customHeight="false" outlineLevel="0" collapsed="false">
      <c r="B68" s="0" t="s">
        <v>353</v>
      </c>
      <c r="D68" s="31" t="n">
        <f aca="false">D66*c_gdw</f>
        <v>50127.9138095238</v>
      </c>
      <c r="E68" s="31" t="n">
        <f aca="false">E66*c_gdw</f>
        <v>53288.7376428571</v>
      </c>
      <c r="F68" s="31" t="n">
        <f aca="false">F66*c_gdw</f>
        <v>57428.1519047619</v>
      </c>
      <c r="G68" s="31" t="n">
        <f aca="false">G66*c_gdw</f>
        <v>60588.9757380953</v>
      </c>
      <c r="I68" s="31" t="n">
        <f aca="false">I66*c_gdw</f>
        <v>50735.7869047619</v>
      </c>
      <c r="J68" s="31" t="n">
        <f aca="false">J66*c_gdw</f>
        <v>50374.6599206349</v>
      </c>
      <c r="K68" s="31" t="n">
        <f aca="false">K66*c_gdw</f>
        <v>50211.2047619048</v>
      </c>
      <c r="L68" s="31" t="n">
        <f aca="false">L66*c_gdw</f>
        <v>50127.9138095238</v>
      </c>
      <c r="M68" s="31" t="n">
        <f aca="false">M66*c_gdw</f>
        <v>50081.9662698413</v>
      </c>
      <c r="N68" s="31" t="n">
        <f aca="false">N66*c_gdw</f>
        <v>50057.7164965986</v>
      </c>
    </row>
    <row r="69" customFormat="false" ht="15" hidden="false" customHeight="false" outlineLevel="0" collapsed="false">
      <c r="B69" s="0" t="s">
        <v>354</v>
      </c>
      <c r="D69" s="31" t="n">
        <f aca="false">D66*in_zysk</f>
        <v>260665.151809524</v>
      </c>
      <c r="E69" s="31" t="n">
        <f aca="false">E66*in_zysk</f>
        <v>277101.435742857</v>
      </c>
      <c r="F69" s="31" t="n">
        <f aca="false">F66*in_zysk</f>
        <v>298626.389904762</v>
      </c>
      <c r="G69" s="31" t="n">
        <f aca="false">G66*in_zysk</f>
        <v>315062.673838095</v>
      </c>
      <c r="I69" s="31" t="n">
        <f aca="false">I66*in_zysk</f>
        <v>263826.091904762</v>
      </c>
      <c r="J69" s="31" t="n">
        <f aca="false">J66*in_zysk</f>
        <v>261948.231587302</v>
      </c>
      <c r="K69" s="31" t="n">
        <f aca="false">K66*in_zysk</f>
        <v>261098.264761905</v>
      </c>
      <c r="L69" s="31" t="n">
        <f aca="false">L66*in_zysk</f>
        <v>260665.151809524</v>
      </c>
      <c r="M69" s="31" t="n">
        <f aca="false">M66*in_zysk</f>
        <v>260426.224603175</v>
      </c>
      <c r="N69" s="31" t="n">
        <f aca="false">N66*in_zysk</f>
        <v>260300.125782313</v>
      </c>
    </row>
    <row r="70" customFormat="false" ht="15" hidden="false" customHeight="false" outlineLevel="0" collapsed="false">
      <c r="B70" s="0" t="s">
        <v>355</v>
      </c>
      <c r="D70" s="31" t="n">
        <f aca="false">c_podatek*(D61+D62+D63+D64+D68+D69)</f>
        <v>62172.0861466667</v>
      </c>
      <c r="E70" s="31" t="n">
        <f aca="false">c_podatek*(E61+E62+E63+E64+E68+E69)</f>
        <v>64915.681234</v>
      </c>
      <c r="F70" s="31" t="n">
        <f aca="false">c_podatek*(F61+F62+F63+F64+F68+F69)</f>
        <v>71369.7328133333</v>
      </c>
      <c r="G70" s="31" t="n">
        <f aca="false">c_podatek*(G61+G62+G63+G64+G68+G69)</f>
        <v>74113.3279006667</v>
      </c>
      <c r="I70" s="31" t="n">
        <f aca="false">c_podatek*(I61+I62+I63+I64+I68+I69)</f>
        <v>64945.3390333333</v>
      </c>
      <c r="J70" s="31" t="n">
        <f aca="false">c_podatek*(J61+J62+J63+J64+J68+J69)</f>
        <v>63274.8514777778</v>
      </c>
      <c r="K70" s="31" t="n">
        <f aca="false">c_podatek*(K61+K62+K63+K64+K68+K69)</f>
        <v>62534.9353333334</v>
      </c>
      <c r="L70" s="31" t="n">
        <f aca="false">c_podatek*(L61+L62+L63+L64+L68+L69)</f>
        <v>62172.0861466667</v>
      </c>
      <c r="M70" s="31" t="n">
        <f aca="false">c_podatek*(M61+M62+M63+M64+M68+M69)</f>
        <v>61985.6744555556</v>
      </c>
      <c r="N70" s="31" t="n">
        <f aca="false">c_podatek*(N61+N62+N63+N64+N68+N69)</f>
        <v>61901.1787190476</v>
      </c>
    </row>
    <row r="71" customFormat="false" ht="15" hidden="false" customHeight="false" outlineLevel="0" collapsed="false">
      <c r="B71" s="11" t="s">
        <v>356</v>
      </c>
      <c r="D71" s="33" t="n">
        <f aca="false">D66+D70</f>
        <v>2067288.63852762</v>
      </c>
      <c r="E71" s="33" t="n">
        <f aca="false">E66+E70</f>
        <v>2196465.18694829</v>
      </c>
      <c r="F71" s="33" t="n">
        <f aca="false">F66+F70</f>
        <v>2368495.80900381</v>
      </c>
      <c r="G71" s="33" t="n">
        <f aca="false">G66+G70</f>
        <v>2497672.35742448</v>
      </c>
      <c r="I71" s="33" t="n">
        <f aca="false">I66+I70</f>
        <v>2094376.81522381</v>
      </c>
      <c r="J71" s="33" t="n">
        <f aca="false">J66+J70</f>
        <v>2078261.24830317</v>
      </c>
      <c r="K71" s="33" t="n">
        <f aca="false">K66+K70</f>
        <v>2070983.12580952</v>
      </c>
      <c r="L71" s="33" t="n">
        <f aca="false">L66+L70</f>
        <v>2067288.63852762</v>
      </c>
      <c r="M71" s="33" t="n">
        <f aca="false">M66+M70</f>
        <v>2065264.32524921</v>
      </c>
      <c r="N71" s="33" t="n">
        <f aca="false">N66+N70</f>
        <v>2064209.83858299</v>
      </c>
    </row>
    <row r="72" customFormat="false" ht="15" hidden="false" customHeight="false" outlineLevel="0" collapsed="false">
      <c r="B72" s="0" t="s">
        <v>357</v>
      </c>
      <c r="D72" s="31" t="n">
        <f aca="false">D71-D69-D68</f>
        <v>1756495.57290857</v>
      </c>
      <c r="E72" s="31" t="n">
        <f aca="false">E71-E69-E68</f>
        <v>1866075.01356257</v>
      </c>
      <c r="F72" s="31" t="n">
        <f aca="false">F71-F69-F68</f>
        <v>2012441.26719429</v>
      </c>
      <c r="G72" s="31" t="n">
        <f aca="false">G71-G69-G68</f>
        <v>2122020.70784829</v>
      </c>
      <c r="I72" s="31" t="n">
        <f aca="false">I71-I69-I68</f>
        <v>1779814.93641429</v>
      </c>
      <c r="J72" s="31" t="n">
        <f aca="false">J71-J69-J68</f>
        <v>1765938.35679524</v>
      </c>
      <c r="K72" s="31" t="n">
        <f aca="false">K71-K69-K68</f>
        <v>1759673.65628571</v>
      </c>
      <c r="L72" s="31" t="n">
        <f aca="false">L71-L69-L68</f>
        <v>1756495.57290857</v>
      </c>
      <c r="M72" s="31" t="n">
        <f aca="false">M71-M69-M68</f>
        <v>1754756.13437619</v>
      </c>
      <c r="N72" s="31" t="n">
        <f aca="false">N71-N69-N68</f>
        <v>1753851.99630408</v>
      </c>
    </row>
    <row r="73" customFormat="false" ht="15" hidden="false" customHeight="false" outlineLevel="0" collapsed="false">
      <c r="B73" s="11" t="s">
        <v>358</v>
      </c>
      <c r="D73" s="33" t="n">
        <f aca="false">D71-D72</f>
        <v>310793.065619048</v>
      </c>
      <c r="E73" s="33" t="n">
        <f aca="false">E71-E72</f>
        <v>330390.173385714</v>
      </c>
      <c r="F73" s="33" t="n">
        <f aca="false">F71-F72</f>
        <v>356054.541809524</v>
      </c>
      <c r="G73" s="33" t="n">
        <f aca="false">G71-G72</f>
        <v>375651.64957619</v>
      </c>
      <c r="I73" s="33" t="n">
        <f aca="false">I71-I72</f>
        <v>314561.878809524</v>
      </c>
      <c r="J73" s="33" t="n">
        <f aca="false">J71-J72</f>
        <v>312322.891507936</v>
      </c>
      <c r="K73" s="33" t="n">
        <f aca="false">K71-K72</f>
        <v>311309.469523809</v>
      </c>
      <c r="L73" s="33" t="n">
        <f aca="false">L71-L72</f>
        <v>310793.065619048</v>
      </c>
      <c r="M73" s="33" t="n">
        <f aca="false">M71-M72</f>
        <v>310508.190873016</v>
      </c>
      <c r="N73" s="33" t="n">
        <f aca="false">N71-N72</f>
        <v>310357.842278912</v>
      </c>
    </row>
    <row r="74" customFormat="false" ht="15" hidden="false" customHeight="false" outlineLevel="0" collapsed="false">
      <c r="B74" s="0" t="s">
        <v>114</v>
      </c>
      <c r="D74" s="31" t="n">
        <f aca="false">IF(m_MP&gt;0,D71/m_MP,0)</f>
        <v>15661.2775646032</v>
      </c>
      <c r="E74" s="31" t="n">
        <f aca="false">IF(m_MP&gt;0,E71/m_MP,0)</f>
        <v>16639.8877799113</v>
      </c>
      <c r="F74" s="31" t="n">
        <f aca="false">IF(m_MP&gt;0,F71/m_MP,0)</f>
        <v>17943.1500682107</v>
      </c>
      <c r="G74" s="31" t="n">
        <f aca="false">IF(m_MP&gt;0,G71/m_MP,0)</f>
        <v>18921.7602835188</v>
      </c>
      <c r="I74" s="31" t="n">
        <f aca="false">IF(m_MP&gt;0,I71/m_MP,0)</f>
        <v>15866.4910244228</v>
      </c>
      <c r="J74" s="31" t="n">
        <f aca="false">IF(m_MP&gt;0,J71/m_MP,0)</f>
        <v>15744.4033962362</v>
      </c>
      <c r="K74" s="31" t="n">
        <f aca="false">IF(m_MP&gt;0,K71/m_MP,0)</f>
        <v>15689.2661046176</v>
      </c>
      <c r="L74" s="31" t="n">
        <f aca="false">IF(m_MP&gt;0,L71/m_MP,0)</f>
        <v>15661.2775646032</v>
      </c>
      <c r="M74" s="31" t="n">
        <f aca="false">IF(m_MP&gt;0,M71/m_MP,0)</f>
        <v>15645.9418579485</v>
      </c>
      <c r="N74" s="31" t="n">
        <f aca="false">IF(m_MP&gt;0,N71/m_MP,0)</f>
        <v>15637.9533225984</v>
      </c>
    </row>
    <row r="75" customFormat="false" ht="15" hidden="false" customHeight="false" outlineLevel="0" collapsed="false">
      <c r="B75" s="0" t="s">
        <v>359</v>
      </c>
      <c r="D75" s="39" t="n">
        <f aca="false">D74/in_eur</f>
        <v>3621.10463921461</v>
      </c>
      <c r="E75" s="39" t="n">
        <f aca="false">E74/in_eur</f>
        <v>3847.37289708931</v>
      </c>
      <c r="F75" s="39" t="n">
        <f aca="false">F74/in_eur</f>
        <v>4148.70521808339</v>
      </c>
      <c r="G75" s="39" t="n">
        <f aca="false">G74/in_eur</f>
        <v>4374.9734759581</v>
      </c>
      <c r="I75" s="39" t="n">
        <f aca="false">I74/in_eur</f>
        <v>3668.55283801683</v>
      </c>
      <c r="J75" s="39" t="n">
        <f aca="false">J74/in_eur</f>
        <v>3640.32448467888</v>
      </c>
      <c r="K75" s="39" t="n">
        <f aca="false">K74/in_eur</f>
        <v>3627.57597794627</v>
      </c>
      <c r="L75" s="39" t="n">
        <f aca="false">L74/in_eur</f>
        <v>3621.10463921461</v>
      </c>
      <c r="M75" s="39" t="n">
        <f aca="false">M74/in_eur</f>
        <v>3617.55881108637</v>
      </c>
      <c r="N75" s="39" t="n">
        <f aca="false">N74/in_eur</f>
        <v>3615.71175088981</v>
      </c>
    </row>
    <row r="76" customFormat="false" ht="15" hidden="false" customHeight="false" outlineLevel="0" collapsed="false">
      <c r="B76" s="0" t="s">
        <v>360</v>
      </c>
      <c r="D76" s="31" t="n">
        <f aca="false">D65/(1-(c_kob+c_gdw+in_zysk2))</f>
        <v>1958485.93488372</v>
      </c>
      <c r="E76" s="31" t="n">
        <f aca="false">E65/(1-(c_kob+c_gdw+in_zysk2))</f>
        <v>2081978.58697674</v>
      </c>
      <c r="F76" s="31" t="n">
        <f aca="false">F65/(1-(c_kob+c_gdw+in_zysk2))</f>
        <v>2243704.53953488</v>
      </c>
      <c r="G76" s="31" t="n">
        <f aca="false">G65/(1-(c_kob+c_gdw+in_zysk2))</f>
        <v>2367197.19162791</v>
      </c>
      <c r="I76" s="31" t="n">
        <f aca="false">I65/(1-(c_kob+c_gdw+in_zysk2))</f>
        <v>1982235.39534884</v>
      </c>
      <c r="J76" s="31" t="n">
        <f aca="false">J65/(1-(c_kob+c_gdw+in_zysk2))</f>
        <v>1968126.24806202</v>
      </c>
      <c r="K76" s="31" t="n">
        <f aca="false">K65/(1-(c_kob+c_gdw+in_zysk2))</f>
        <v>1961740.09302326</v>
      </c>
      <c r="L76" s="31" t="n">
        <f aca="false">L65/(1-(c_kob+c_gdw+in_zysk2))</f>
        <v>1958485.93488372</v>
      </c>
      <c r="M76" s="31" t="n">
        <f aca="false">M65/(1-(c_kob+c_gdw+in_zysk2))</f>
        <v>1956690.7751938</v>
      </c>
      <c r="N76" s="31" t="n">
        <f aca="false">N65/(1-(c_kob+c_gdw+in_zysk2))</f>
        <v>1955743.34219269</v>
      </c>
    </row>
    <row r="77" customFormat="false" ht="15" hidden="false" customHeight="false" outlineLevel="0" collapsed="false">
      <c r="B77" s="0" t="s">
        <v>361</v>
      </c>
      <c r="D77" s="31" t="n">
        <f aca="false">D76*in_zysk2</f>
        <v>215433.452837209</v>
      </c>
      <c r="E77" s="31" t="n">
        <f aca="false">E76*in_zysk2</f>
        <v>229017.644567442</v>
      </c>
      <c r="F77" s="31" t="n">
        <f aca="false">F76*in_zysk2</f>
        <v>246807.499348837</v>
      </c>
      <c r="G77" s="31" t="n">
        <f aca="false">G76*in_zysk2</f>
        <v>260391.69107907</v>
      </c>
      <c r="I77" s="31" t="n">
        <f aca="false">I76*in_zysk2</f>
        <v>218045.893488372</v>
      </c>
      <c r="J77" s="31" t="n">
        <f aca="false">J76*in_zysk2</f>
        <v>216493.887286822</v>
      </c>
      <c r="K77" s="31" t="n">
        <f aca="false">K76*in_zysk2</f>
        <v>215791.410232558</v>
      </c>
      <c r="L77" s="31" t="n">
        <f aca="false">L76*in_zysk2</f>
        <v>215433.452837209</v>
      </c>
      <c r="M77" s="31" t="n">
        <f aca="false">M76*in_zysk2</f>
        <v>215235.985271318</v>
      </c>
      <c r="N77" s="31" t="n">
        <f aca="false">N76*in_zysk2</f>
        <v>215131.767641196</v>
      </c>
    </row>
    <row r="78" customFormat="false" ht="15" hidden="false" customHeight="false" outlineLevel="0" collapsed="false">
      <c r="B78" s="11" t="s">
        <v>362</v>
      </c>
      <c r="D78" s="33" t="n">
        <f aca="false">D76+c_podatek*(D61+D62+D63+D64+D76*(c_gdw+in_zysk2))</f>
        <v>2014162.37601302</v>
      </c>
      <c r="E78" s="33" t="n">
        <f aca="false">E76+c_podatek*(E61+E62+E63+E64+E76*(c_gdw+in_zysk2))</f>
        <v>2139989.0392306</v>
      </c>
      <c r="F78" s="33" t="n">
        <f aca="false">F76+c_podatek*(F61+F62+F63+F64+F76*(c_gdw+in_zysk2))</f>
        <v>2307632.65229209</v>
      </c>
      <c r="G78" s="33" t="n">
        <f aca="false">G76+c_podatek*(G61+G62+G63+G64+G76*(c_gdw+in_zysk2))</f>
        <v>2433459.31550968</v>
      </c>
      <c r="I78" s="33" t="n">
        <f aca="false">I76+c_podatek*(I61+I62+I63+I64+I76*(c_gdw+in_zysk2))</f>
        <v>2040606.32032093</v>
      </c>
      <c r="J78" s="33" t="n">
        <f aca="false">J76+c_podatek*(J61+J62+J63+J64+J76*(c_gdw+in_zysk2))</f>
        <v>2024873.48081705</v>
      </c>
      <c r="K78" s="33" t="n">
        <f aca="false">K76+c_podatek*(K61+K62+K63+K64+K76*(c_gdw+in_zysk2))</f>
        <v>2017768.5903814</v>
      </c>
      <c r="L78" s="33" t="n">
        <f aca="false">L76+c_podatek*(L61+L62+L63+L64+L76*(c_gdw+in_zysk2))</f>
        <v>2014162.37601302</v>
      </c>
      <c r="M78" s="33" t="n">
        <f aca="false">M76+c_podatek*(M61+M62+M63+M64+M76*(c_gdw+in_zysk2))</f>
        <v>2012186.75857829</v>
      </c>
      <c r="N78" s="33" t="n">
        <f aca="false">N76+c_podatek*(N61+N62+N63+N64+N76*(c_gdw+in_zysk2))</f>
        <v>2011157.97216013</v>
      </c>
    </row>
    <row r="79" customFormat="false" ht="15" hidden="false" customHeight="false" outlineLevel="0" collapsed="false">
      <c r="B79" s="0" t="s">
        <v>85</v>
      </c>
      <c r="D79" s="31" t="n">
        <f aca="false">IF(m_MP&gt;0,D78/m_MP,0)</f>
        <v>15258.8058788865</v>
      </c>
      <c r="E79" s="31" t="n">
        <f aca="false">IF(m_MP&gt;0,E78/m_MP,0)</f>
        <v>16212.0381759894</v>
      </c>
      <c r="F79" s="31" t="n">
        <f aca="false">IF(m_MP&gt;0,F78/m_MP,0)</f>
        <v>17482.0655476674</v>
      </c>
      <c r="G79" s="31" t="n">
        <f aca="false">IF(m_MP&gt;0,G78/m_MP,0)</f>
        <v>18435.2978447703</v>
      </c>
      <c r="I79" s="31" t="n">
        <f aca="false">IF(m_MP&gt;0,I78/m_MP,0)</f>
        <v>15459.1387903101</v>
      </c>
      <c r="J79" s="31" t="n">
        <f aca="false">IF(m_MP&gt;0,J78/m_MP,0)</f>
        <v>15339.9506122504</v>
      </c>
      <c r="K79" s="31" t="n">
        <f aca="false">IF(m_MP&gt;0,K78/m_MP,0)</f>
        <v>15286.1256847075</v>
      </c>
      <c r="L79" s="31" t="n">
        <f aca="false">IF(m_MP&gt;0,L78/m_MP,0)</f>
        <v>15258.8058788865</v>
      </c>
      <c r="M79" s="31" t="n">
        <f aca="false">IF(m_MP&gt;0,M78/m_MP,0)</f>
        <v>15243.8390801386</v>
      </c>
      <c r="N79" s="31" t="n">
        <f aca="false">IF(m_MP&gt;0,N78/m_MP,0)</f>
        <v>15236.0452436374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2026-10-21T07:20:34Z</dcterms:created>
  <dc:creator>openpyxl</dc:creator>
  <dc:description/>
  <dc:language>en-US</dc:language>
  <cp:lastModifiedBy/>
  <dcterms:modified xsi:type="dcterms:W3CDTF">2026-10-21T07:20:34Z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