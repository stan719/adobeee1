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Cennik!$C$63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Cennik!$C$50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alt" vbProcedure="false">Cennik!$C$47</definedName>
    <definedName function="false" hidden="false" name="c_dzwig_D" vbProcedure="false">Cennik!$C$48</definedName>
    <definedName function="false" hidden="false" name="c_dzwig_wspS" vbProcedure="false">Cennik!$C$49</definedName>
    <definedName function="false" hidden="false" name="c_gdw" vbProcedure="false">Cennik!$C$67</definedName>
    <definedName function="false" hidden="false" name="c_hotel" vbProcedure="false">Cennik!$C$64</definedName>
    <definedName function="false" hidden="false" name="c_hydr_drobne" vbProcedure="false">Cennik!$C$20</definedName>
    <definedName function="false" hidden="false" name="c_km_dodatek" vbProcedure="false">Cennik!$C$52</definedName>
    <definedName function="false" hidden="false" name="c_km_dzien" vbProcedure="false">Cennik!$C$54</definedName>
    <definedName function="false" hidden="false" name="c_km_krakow" vbProcedure="false">Cennik!$C$53</definedName>
    <definedName function="false" hidden="false" name="c_kob" vbProcedure="false">Cennik!$C$66</definedName>
    <definedName function="false" hidden="false" name="c_konserw" vbProcedure="false">Cennik!$C$70</definedName>
    <definedName function="false" hidden="false" name="c_konserw2" vbProcedure="false">Cennik!$C$71</definedName>
    <definedName function="false" hidden="false" name="c_konserw3" vbProcedure="false">Cennik!$C$72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Cennik!$C$58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Cennik!$C$56</definedName>
    <definedName function="false" hidden="false" name="c_podatek" vbProcedure="false">Cennik!$C$68</definedName>
    <definedName function="false" hidden="false" name="c_pomiary_osoby" vbProcedure="false">Cennik!$C$57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Cennik!$C$55</definedName>
    <definedName function="false" hidden="false" name="c_stawka_1" vbProcedure="false">Cennik!$C$60</definedName>
    <definedName function="false" hidden="false" name="c_stawka_2" vbProcedure="false">Cennik!$C$61</definedName>
    <definedName function="false" hidden="false" name="c_stawka_n" vbProcedure="false">Cennik!$C$62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Dane!$C$60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_min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Cennik!$C$76:$C$84</definedName>
    <definedName function="false" hidden="false" name="t_gl_silownik" vbProcedure="false">Cennik!$D$76:$D$84</definedName>
    <definedName function="false" hidden="false" name="t_sk_cena" vbProcedure="false">Cennik!$C$88:$C$114</definedName>
    <definedName function="false" hidden="false" name="t_sk_D" vbProcedure="false">Cennik!$E$88:$E$114</definedName>
    <definedName function="false" hidden="false" name="t_sk_grupa" vbProcedure="false">Cennik!$F$88:$F$114</definedName>
    <definedName function="false" hidden="false" name="t_sk_S" vbProcedure="false">Cennik!$D$88:$D$114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<sst xmlns="http://schemas.openxmlformats.org/spreadsheetml/2006/main" count="418" uniqueCount="361">
  <si>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</si>
  <si>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</si>
  <si>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</si>
  <si>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</si>
  <si>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Kasprowicza 18 Warszawa</t>
  </si>
  <si>
    <t xml:space="preserve">Data oferty</t>
  </si>
  <si>
    <t xml:space="preserve">Nr oferty / handlowiec</t>
  </si>
  <si>
    <t xml:space="preserve">20261014-SNK</t>
  </si>
  <si>
    <t xml:space="preserve">Opis / wariant (H, L, P, Hpoj ...)</t>
  </si>
  <si>
    <t xml:space="preserve">H-195/202 | L-530-544-584 | P-380 | Hpoj. G-180. D-180 | 1A4+1A5+1A6 | Bok-30 Tył-5 | mgstrl-4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</si>
  <si>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</si>
  <si>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</si>
  <si>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</si>
  <si>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</si>
  <si>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</si>
  <si>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</si>
  <si>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</si>
  <si>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</si>
  <si>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</si>
  <si>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</si>
  <si>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</si>
  <si>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</si>
  <si>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</si>
  <si>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</si>
  <si>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</si>
  <si>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</si>
  <si>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</si>
  <si>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</si>
  <si>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</si>
  <si>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</si>
  <si>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</si>
  <si>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</si>
  <si>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</si>
  <si>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</si>
  <si>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</si>
  <si>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</si>
  <si>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</si>
  <si>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</si>
  <si>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</si>
  <si>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</si>
  <si>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</si>
  <si>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</si>
  <si>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</si>
  <si>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</si>
  <si>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</si>
  <si>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</si>
  <si>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</si>
  <si>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</si>
  <si>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</si>
  <si>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</si>
  <si>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</si>
  <si>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</si>
  <si>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</si>
  <si>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</si>
  <si>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</si>
  <si>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</si>
  <si>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/ TIR</t>
  </si>
  <si>
    <t xml:space="preserve">WAW 1700, KRK 500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</si>
  <si>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</si>
  <si>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</si>
  <si>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</si>
  <si>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</si>
  <si>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</si>
  <si>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</si>
  <si>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</si>
  <si>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</si>
  <si>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</si>
  <si>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(udział w cenie)</t>
  </si>
  <si>
    <t xml:space="preserve">Zysk do sprawdzenia 'do ilu zejdziemy' (cena minimalna)</t>
  </si>
  <si>
    <t xml:space="preserve">Dopłata za Q=2500 kg</t>
  </si>
  <si>
    <t xml:space="preserve">domyślnie 7% z Cennika</t>
  </si>
  <si>
    <t xml:space="preserve">Kurs EUR/PLN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</si>
  <si>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</si>
  <si>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</si>
  <si>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</si>
  <si>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</si>
  <si>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</si>
  <si>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</si>
  <si>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</si>
  <si>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</si>
  <si>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KONTRAKTU NETTO</t>
  </si>
  <si>
    <t xml:space="preserve">Cena za miejsce postojowe</t>
  </si>
  <si>
    <t xml:space="preserve">Cena za MP [EUR]</t>
  </si>
  <si>
    <t xml:space="preserve">Cena minimalna (zysk do sprawdzenia)</t>
  </si>
  <si>
    <t xml:space="preserve">Zysk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</si>
  <si>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</si>
  <si>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</si>
  <si>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</si>
  <si>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</si>
  <si>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</si>
  <si>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</si>
  <si>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</si>
  <si>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</si>
  <si>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(Kraków: dni)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</si>
  <si>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</si>
  <si>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</si>
  <si>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</si>
  <si>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</si>
  <si>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</si>
  <si>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</si>
  <si>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</si>
  <si>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</si>
  <si>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</si>
  <si>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</si>
  <si>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</si>
  <si>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</si>
  <si>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</si>
  <si>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</si>
  <si>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</si>
  <si>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</si>
  <si>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</si>
  <si>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</si>
  <si>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</si>
  <si>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</si>
  <si>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</si>
  <si>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</si>
  <si>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</si>
  <si>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</si>
  <si>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</si>
  <si>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</si>
  <si>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</si>
  <si>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</si>
  <si>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</si>
  <si>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</si>
  <si>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</si>
  <si>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/ cena minimalna przy</t>
  </si>
  <si>
    <t xml:space="preserve">Dopłata Q=2500</t>
  </si>
  <si>
    <t xml:space="preserve">Konserwacja roczna (40 / 45 / 50 zł/MP/mies.)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</si>
  <si>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</si>
  <si>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</si>
  <si>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</si>
  <si>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</si>
  <si>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</si>
  <si>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</si>
  <si>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</si>
  <si>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Cena minimalna liczona z dźwigiem 2000 zł/dzień (jak w starej kolumnie N).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</si>
  <si>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</si>
  <si>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</si>
  <si>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</si>
  <si>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</si>
  <si>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</si>
  <si>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</si>
  <si>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</si>
  <si>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</si>
  <si>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</si>
  <si>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</si>
  <si>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</si>
  <si>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</si>
  <si>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</si>
  <si>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</si>
  <si>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</si>
  <si>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</si>
  <si>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</si>
  <si>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</si>
  <si>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</si>
  <si>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</si>
  <si>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</si>
  <si>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</si>
  <si>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</si>
  <si>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</si>
  <si>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</si>
  <si>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</si>
  <si>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</si>
  <si>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</si>
  <si>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</si>
  <si>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</si>
  <si>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</si>
  <si>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</si>
  <si>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</si>
  <si>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</si>
  <si>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</si>
  <si>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</si>
  <si>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</si>
  <si>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</si>
  <si>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</si>
  <si>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</si>
  <si>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</si>
  <si>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</si>
  <si>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</si>
  <si>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</si>
  <si>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</si>
  <si>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</si>
  <si>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</si>
  <si>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</si>
  <si>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</si>
  <si>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</si>
  <si>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</si>
  <si>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</si>
  <si>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</si>
  <si>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</si>
  <si>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</si>
  <si>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</si>
  <si>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</si>
  <si>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</si>
  <si>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</si>
  <si>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</si>
  <si>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</si>
  <si>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</si>
  <si>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</si>
  <si>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</si>
  <si>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</si>
  <si>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</si>
  <si>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</si>
  <si>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</si>
  <si>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</si>
  <si>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</si>
  <si>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</si>
  <si>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</si>
  <si>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</si>
  <si>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</si>
  <si>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</si>
  <si>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</si>
  <si>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</si>
  <si>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Spider Crane / dzień - cena minimalna</t>
  </si>
  <si>
    <t xml:space="preserve">KAL!M25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</si>
  <si>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</si>
  <si>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</si>
  <si>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</si>
  <si>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</si>
  <si>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</si>
  <si>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</si>
  <si>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</si>
  <si>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</si>
  <si>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</si>
  <si>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</si>
  <si>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</si>
  <si>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</si>
  <si>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</si>
  <si>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</si>
  <si>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</si>
  <si>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</si>
  <si>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</si>
  <si>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</si>
  <si>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</si>
  <si>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</si>
  <si>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</si>
  <si>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</si>
  <si>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</si>
  <si>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</si>
  <si>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</si>
  <si>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</si>
  <si>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</si>
  <si>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</si>
  <si>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</si>
  <si>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</si>
  <si>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</si>
  <si>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</si>
  <si>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</si>
  <si>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</si>
  <si>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</si>
  <si>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</si>
  <si>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</si>
  <si>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Serwis (informacyjnie)</t>
  </si>
  <si>
    <t xml:space="preserve">Konserwacja zł / MP / miesiąc (wariant 1)</t>
  </si>
  <si>
    <t xml:space="preserve">KAL!I45</t>
  </si>
  <si>
    <t xml:space="preserve">Konserwacja zł / MP / miesiąc (wariant 2)</t>
  </si>
  <si>
    <t xml:space="preserve">KAL!L45</t>
  </si>
  <si>
    <t xml:space="preserve">Konserwacja zł / MP / miesiąc (wariant 3)</t>
  </si>
  <si>
    <t xml:space="preserve">KAL!N45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</si>
  <si>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</si>
  <si>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</si>
  <si>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</si>
  <si>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</si>
  <si>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</si>
  <si>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</si>
  <si>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</si>
  <si>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</si>
  <si>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</si>
  <si>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</si>
  <si>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</si>
  <si>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</si>
  <si>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</si>
  <si>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</si>
  <si>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</si>
  <si>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</si>
  <si>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</si>
  <si>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</si>
  <si>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</si>
  <si>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</si>
  <si>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</si>
  <si>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</si>
  <si>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</si>
  <si>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</si>
  <si>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</si>
  <si>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</si>
  <si>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</si>
  <si>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</si>
  <si>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</si>
  <si>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</si>
  <si>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</si>
  <si>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</si>
  <si>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</si>
  <si>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</si>
  <si>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</si>
  <si>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</si>
  <si>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</si>
  <si>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</si>
  <si>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</si>
  <si>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</si>
  <si>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</si>
  <si>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</si>
  <si>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</si>
  <si>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</si>
  <si>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</si>
  <si>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</si>
  <si>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</si>
  <si>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</si>
  <si>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</si>
  <si>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</si>
  <si>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</si>
  <si>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</si>
  <si>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</si>
  <si>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</si>
  <si>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</si>
  <si>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</si>
  <si>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</si>
  <si>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</si>
  <si>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</si>
  <si>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</si>
  <si>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</si>
  <si>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</si>
  <si>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</si>
  <si>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</si>
  <si>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</si>
  <si>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</si>
  <si>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</si>
  <si>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</si>
  <si>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</si>
  <si>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</si>
  <si>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</si>
  <si>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</si>
  <si>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</si>
  <si>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</si>
  <si>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</si>
  <si>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</si>
  <si>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</si>
  <si>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</si>
  <si>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</si>
  <si>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</si>
  <si>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</si>
  <si>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</si>
  <si>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</si>
  <si>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</si>
  <si>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</si>
  <si>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</si>
  <si>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</si>
  <si>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</si>
  <si>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</si>
  <si>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</si>
  <si>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</si>
  <si>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</si>
  <si>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</si>
  <si>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</si>
  <si>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</si>
  <si>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</si>
  <si>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</si>
  <si>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Podatek</t>
  </si>
  <si>
    <t xml:space="preserve">CENA KONTRAKTU NETTO (dawne K39)</t>
  </si>
  <si>
    <t xml:space="preserve">Koszt rzeczywisty (dawne K43)</t>
  </si>
  <si>
    <t xml:space="preserve">Cena minimalna: podstawa narzutów</t>
  </si>
  <si>
    <t xml:space="preserve">CENA MINIMALNA (zysk do sprawdzenia, dźwig 2000)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</si>
</sst>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46309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280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0</v>
      </c>
    </row>
    <row r="20" customFormat="false" ht="15" hidden="false" customHeight="false" outlineLevel="0" collapsed="false">
      <c r="B20" s="0" t="s">
        <v>23</v>
      </c>
      <c r="C20" s="10" t="n">
        <v>15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3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4</v>
      </c>
    </row>
    <row r="24" customFormat="false" ht="15" hidden="false" customHeight="false" outlineLevel="0" collapsed="false">
      <c r="B24" s="0" t="s">
        <v>28</v>
      </c>
      <c r="C24" s="10" t="n">
        <v>30</v>
      </c>
    </row>
    <row r="25" customFormat="false" ht="15" hidden="false" customHeight="false" outlineLevel="0" collapsed="false">
      <c r="B25" s="0" t="s">
        <v>29</v>
      </c>
      <c r="C25" s="10" t="n">
        <v>5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15</v>
      </c>
      <c r="F35" s="8" t="str">
        <f aca="false">IF(C35+D35&gt;0,"; 200 cm: "&amp;IF(C35&gt;0,C35&amp;"S","")&amp;IF(AND(C35&gt;0,D35&gt;0),"+","")&amp;IF(D35&gt;0,D35&amp;"D",""),"")</f>
        <v>; 200 cm: 15D</v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200 cm: 15D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3</v>
      </c>
    </row>
    <row r="48" customFormat="false" ht="15" hidden="false" customHeight="false" outlineLevel="0" collapsed="false">
      <c r="B48" s="0" t="s">
        <v>54</v>
      </c>
      <c r="C48" s="13" t="n">
        <v>4000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1700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0" t="n">
        <v>4</v>
      </c>
      <c r="E51" s="8" t="s">
        <v>61</v>
      </c>
    </row>
    <row r="52" customFormat="false" ht="15" hidden="false" customHeight="false" outlineLevel="0" collapsed="false">
      <c r="B52" s="0" t="s">
        <v>62</v>
      </c>
      <c r="C52" s="10"/>
      <c r="E52" s="8" t="s">
        <v>17</v>
      </c>
    </row>
    <row r="53" customFormat="false" ht="15" hidden="false" customHeight="false" outlineLevel="0" collapsed="false">
      <c r="B53" s="0" t="s">
        <v>63</v>
      </c>
      <c r="C53" s="6" t="s">
        <v>64</v>
      </c>
      <c r="E53" s="8" t="s">
        <v>65</v>
      </c>
    </row>
    <row r="55" customFormat="false" ht="15" hidden="false" customHeight="false" outlineLevel="0" collapsed="false">
      <c r="B55" s="4" t="s">
        <v>66</v>
      </c>
      <c r="C55" s="5"/>
      <c r="D55" s="5"/>
      <c r="E55" s="5"/>
    </row>
    <row r="56" customFormat="false" ht="15" hidden="false" customHeight="false" outlineLevel="0" collapsed="false">
      <c r="B56" s="0" t="s">
        <v>67</v>
      </c>
      <c r="C56" s="14" t="n">
        <v>0.125</v>
      </c>
    </row>
    <row r="57" customFormat="false" ht="15" hidden="false" customHeight="false" outlineLevel="0" collapsed="false">
      <c r="B57" s="0" t="s">
        <v>68</v>
      </c>
      <c r="C57" s="14" t="n">
        <v>0.1</v>
      </c>
    </row>
    <row r="58" customFormat="false" ht="15" hidden="false" customHeight="false" outlineLevel="0" collapsed="false">
      <c r="B58" s="0" t="s">
        <v>69</v>
      </c>
      <c r="C58" s="14" t="n">
        <v>0.06</v>
      </c>
      <c r="E58" s="8" t="s">
        <v>70</v>
      </c>
    </row>
    <row r="59" customFormat="false" ht="15" hidden="false" customHeight="false" outlineLevel="0" collapsed="false">
      <c r="B59" s="0" t="s">
        <v>71</v>
      </c>
      <c r="C59" s="15" t="n">
        <v>4.325</v>
      </c>
    </row>
    <row r="60" customFormat="false" ht="15" hidden="false" customHeight="false" outlineLevel="0" collapsed="false">
      <c r="B60" s="0" t="s">
        <v>72</v>
      </c>
      <c r="C60" s="6" t="s">
        <v>73</v>
      </c>
    </row>
    <row r="62" customFormat="false" ht="15" hidden="false" customHeight="false" outlineLevel="0" collapsed="false">
      <c r="B62" s="4" t="s">
        <v>74</v>
      </c>
      <c r="C62" s="5"/>
      <c r="D62" s="5"/>
      <c r="E62" s="5"/>
    </row>
    <row r="63" customFormat="false" ht="15" hidden="false" customHeight="false" outlineLevel="0" collapsed="false">
      <c r="B63" s="16" t="str">
        <f aca="false">IF(OR(C39&lt;0,D39&lt;0),"BŁĄD: więcej zagłębień niż platform","ok")</f>
        <v>ok</v>
      </c>
      <c r="C63" s="16"/>
      <c r="D63" s="16"/>
      <c r="E63" s="16"/>
    </row>
    <row r="64" customFormat="false" ht="15" hidden="false" customHeight="false" outlineLevel="0" collapsed="false">
      <c r="B64" s="16" t="str">
        <f aca="false">IF(OR(in_szer1_S+in_szer2_S&gt;in_S,in_szer1_D+in_szer2_D&gt;in_D),"BŁĄD: więcej szerokości niż platform","ok")</f>
        <v>ok</v>
      </c>
      <c r="C64" s="16"/>
      <c r="D64" s="16"/>
      <c r="E64" s="16"/>
    </row>
    <row r="65" customFormat="false" ht="15" hidden="false" customHeight="false" outlineLevel="0" collapsed="false">
      <c r="B65" s="16" t="str">
        <f aca="false">IF(OR(in_dl500_S+in_dl540_S+in_dl550_S&gt;in_S,in_dl500_D+in_dl540_D+in_dl550_D&gt;in_D),"BŁĄD: więcej długości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IF(in_agregaty*6&lt;in_S+in_D+in_NP,"UWAGA: mniej niż 1 agregat na 6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IF(in_S+in_D+in_NP=0,"UWAGA: brak platform",IF(in_tir=0,"UWAGA: brak transportów","ok"))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IF(AND(in_lok="Poza Krakowem",in_km=0),"UWAGA: brak odległości od Krakowa","ok")</f>
        <v>ok</v>
      </c>
      <c r="C68" s="16"/>
      <c r="D68" s="16"/>
      <c r="E68" s="16"/>
    </row>
  </sheetData>
  <mergeCells count="6">
    <mergeCell ref="B63:E63"/>
    <mergeCell ref="B64:E64"/>
    <mergeCell ref="B65:E65"/>
    <mergeCell ref="B66:E66"/>
    <mergeCell ref="B67:E67"/>
    <mergeCell ref="B68:E68"/>
  </mergeCells>
  <conditionalFormatting sqref="B63:B68">
    <cfRule type="expression" priority="2" aboveAverage="0" equalAverage="0" bottom="0" percent="0" rank="0" text="" dxfId="0">
      <formula>B63&lt;&gt;"ok"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0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75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Kasprowicza 18 Warszawa   |   2026-10-14   |   20261014-SNK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15D500, 3A   |   60 MP   |   Poza Krakowem</v>
      </c>
    </row>
    <row r="6" customFormat="false" ht="15" hidden="false" customHeight="false" outlineLevel="0" collapsed="false">
      <c r="B6" s="4" t="s">
        <v>76</v>
      </c>
      <c r="C6" s="17" t="s">
        <v>73</v>
      </c>
      <c r="D6" s="17" t="s">
        <v>77</v>
      </c>
      <c r="E6" s="17" t="s">
        <v>78</v>
      </c>
      <c r="F6" s="17" t="s">
        <v>79</v>
      </c>
    </row>
    <row r="7" customFormat="false" ht="15" hidden="false" customHeight="false" outlineLevel="0" collapsed="false">
      <c r="B7" s="11" t="s">
        <v>80</v>
      </c>
      <c r="C7" s="18" t="n">
        <f aca="false">Obliczenia!D70</f>
        <v>951980.820675503</v>
      </c>
      <c r="D7" s="18" t="n">
        <f aca="false">Obliczenia!E70</f>
        <v>999035.721380829</v>
      </c>
      <c r="E7" s="18" t="n">
        <f aca="false">Obliczenia!F70</f>
        <v>1095544.9005226</v>
      </c>
      <c r="F7" s="18" t="n">
        <f aca="false">Obliczenia!G70</f>
        <v>1142599.80122793</v>
      </c>
    </row>
    <row r="8" customFormat="false" ht="15" hidden="false" customHeight="false" outlineLevel="0" collapsed="false">
      <c r="B8" s="0" t="s">
        <v>81</v>
      </c>
      <c r="C8" s="19" t="n">
        <f aca="false">Obliczenia!D72</f>
        <v>15866.3470112584</v>
      </c>
      <c r="D8" s="19" t="n">
        <f aca="false">Obliczenia!E72</f>
        <v>16650.5953563471</v>
      </c>
      <c r="E8" s="19" t="n">
        <f aca="false">Obliczenia!F72</f>
        <v>18259.0816753767</v>
      </c>
      <c r="F8" s="19" t="n">
        <f aca="false">Obliczenia!G72</f>
        <v>19043.3300204655</v>
      </c>
    </row>
    <row r="9" customFormat="false" ht="15" hidden="false" customHeight="false" outlineLevel="0" collapsed="false">
      <c r="B9" s="0" t="s">
        <v>82</v>
      </c>
      <c r="C9" s="20" t="n">
        <f aca="false">Obliczenia!D73</f>
        <v>3668.51954017535</v>
      </c>
      <c r="D9" s="20" t="n">
        <f aca="false">Obliczenia!E73</f>
        <v>3849.8486373057</v>
      </c>
      <c r="E9" s="20" t="n">
        <f aca="false">Obliczenia!F73</f>
        <v>4221.75298852641</v>
      </c>
      <c r="F9" s="20" t="n">
        <f aca="false">Obliczenia!G73</f>
        <v>4403.08208565676</v>
      </c>
    </row>
    <row r="10" customFormat="false" ht="15" hidden="false" customHeight="false" outlineLevel="0" collapsed="false">
      <c r="B10" s="0" t="s">
        <v>83</v>
      </c>
      <c r="C10" s="19" t="n">
        <f aca="false">Obliczenia!D75</f>
        <v>920388.543184828</v>
      </c>
      <c r="D10" s="19" t="n">
        <f aca="false">Obliczenia!E75</f>
        <v>965934.622012414</v>
      </c>
      <c r="E10" s="19" t="n">
        <f aca="false">Obliczenia!F75</f>
        <v>1059401.32154207</v>
      </c>
      <c r="F10" s="19" t="n">
        <f aca="false">Obliczenia!G75</f>
        <v>1104947.40036966</v>
      </c>
    </row>
    <row r="11" customFormat="false" ht="15" hidden="false" customHeight="false" outlineLevel="0" collapsed="false">
      <c r="B11" s="0" t="s">
        <v>84</v>
      </c>
      <c r="C11" s="19" t="n">
        <f aca="false">Obliczenia!D68</f>
        <v>115264.993491124</v>
      </c>
      <c r="D11" s="19" t="n">
        <f aca="false">Obliczenia!E68</f>
        <v>121025.877514793</v>
      </c>
      <c r="E11" s="19" t="n">
        <f aca="false">Obliczenia!F68</f>
        <v>132642.472189349</v>
      </c>
      <c r="F11" s="19" t="n">
        <f aca="false">Obliczenia!G68</f>
        <v>138403.356213018</v>
      </c>
    </row>
    <row r="12" customFormat="false" ht="15" hidden="false" customHeight="false" outlineLevel="0" collapsed="false">
      <c r="B12" s="0" t="s">
        <v>85</v>
      </c>
      <c r="C12" s="19" t="n">
        <f aca="false">Obliczenia!D71</f>
        <v>836715.827184379</v>
      </c>
      <c r="D12" s="19" t="n">
        <f aca="false">Obliczenia!E71</f>
        <v>878009.843866036</v>
      </c>
      <c r="E12" s="19" t="n">
        <f aca="false">Obliczenia!F71</f>
        <v>962902.428333255</v>
      </c>
      <c r="F12" s="19" t="n">
        <f aca="false">Obliczenia!G71</f>
        <v>1004196.44501491</v>
      </c>
    </row>
    <row r="14" customFormat="false" ht="15" hidden="false" customHeight="false" outlineLevel="0" collapsed="false">
      <c r="B14" s="0" t="s">
        <v>86</v>
      </c>
      <c r="C14" s="19" t="n">
        <f aca="false">Obliczenia!D53</f>
        <v>649059.6</v>
      </c>
      <c r="D14" s="19" t="n">
        <f aca="false">Obliczenia!E53</f>
        <v>688003.176</v>
      </c>
      <c r="E14" s="19" t="n">
        <f aca="false">Obliczenia!F53</f>
        <v>649059.6</v>
      </c>
      <c r="F14" s="19" t="n">
        <f aca="false">Obliczenia!G53</f>
        <v>688003.176</v>
      </c>
    </row>
    <row r="15" customFormat="false" ht="15" hidden="false" customHeight="false" outlineLevel="0" collapsed="false">
      <c r="B15" s="0" t="s">
        <v>87</v>
      </c>
      <c r="C15" s="19" t="n">
        <f aca="false">Obliczenia!D54</f>
        <v>0</v>
      </c>
      <c r="D15" s="19" t="n">
        <f aca="false">Obliczenia!E54</f>
        <v>0</v>
      </c>
      <c r="E15" s="19" t="n">
        <f aca="false">Obliczenia!F54</f>
        <v>102000</v>
      </c>
      <c r="F15" s="19" t="n">
        <f aca="false">Obliczenia!G54</f>
        <v>102000</v>
      </c>
    </row>
    <row r="16" customFormat="false" ht="15" hidden="false" customHeight="false" outlineLevel="0" collapsed="false">
      <c r="B16" s="0" t="s">
        <v>88</v>
      </c>
      <c r="C16" s="19" t="n">
        <f aca="false">Obliczenia!D57+Obliczenia!D58+Obliczenia!D59</f>
        <v>24300</v>
      </c>
      <c r="D16" s="19" t="n">
        <f aca="false">Obliczenia!E57+Obliczenia!E58+Obliczenia!E59</f>
        <v>24300</v>
      </c>
      <c r="E16" s="19" t="n">
        <f aca="false">Obliczenia!F57+Obliczenia!F58+Obliczenia!F59</f>
        <v>24300</v>
      </c>
      <c r="F16" s="19" t="n">
        <f aca="false">Obliczenia!G57+Obliczenia!G58+Obliczenia!G59</f>
        <v>24300</v>
      </c>
    </row>
    <row r="17" customFormat="false" ht="15" hidden="false" customHeight="false" outlineLevel="0" collapsed="false">
      <c r="B17" s="0" t="s">
        <v>89</v>
      </c>
      <c r="C17" s="19" t="n">
        <f aca="false">Obliczenia!D62+Obliczenia!D60+Obliczenia!D61</f>
        <v>67392.32</v>
      </c>
      <c r="D17" s="19" t="n">
        <f aca="false">Obliczenia!E62+Obliczenia!E60+Obliczenia!E61</f>
        <v>67392.32</v>
      </c>
      <c r="E17" s="19" t="n">
        <f aca="false">Obliczenia!F62+Obliczenia!F60+Obliczenia!F61</f>
        <v>77824.64</v>
      </c>
      <c r="F17" s="19" t="n">
        <f aca="false">Obliczenia!G62+Obliczenia!G60+Obliczenia!G61</f>
        <v>77824.64</v>
      </c>
    </row>
    <row r="18" customFormat="false" ht="15" hidden="false" customHeight="false" outlineLevel="0" collapsed="false">
      <c r="B18" s="0" t="s">
        <v>90</v>
      </c>
      <c r="C18" s="19" t="n">
        <f aca="false">Obliczenia!D56+Obliczenia!D63+Obliczenia!D55</f>
        <v>38439.436</v>
      </c>
      <c r="D18" s="19" t="n">
        <f aca="false">Obliczenia!E56+Obliczenia!E63+Obliczenia!E55</f>
        <v>38439.436</v>
      </c>
      <c r="E18" s="19" t="n">
        <f aca="false">Obliczenia!F56+Obliczenia!F63+Obliczenia!F55</f>
        <v>43478.872</v>
      </c>
      <c r="F18" s="19" t="n">
        <f aca="false">Obliczenia!G56+Obliczenia!G63+Obliczenia!G55</f>
        <v>43478.872</v>
      </c>
    </row>
    <row r="19" customFormat="false" ht="15" hidden="false" customHeight="false" outlineLevel="0" collapsed="false">
      <c r="B19" s="0" t="s">
        <v>91</v>
      </c>
      <c r="C19" s="19" t="n">
        <f aca="false">Obliczenia!D66+Obliczenia!D67+Obliczenia!D69</f>
        <v>57524.4711843787</v>
      </c>
      <c r="D19" s="19" t="n">
        <f aca="false">Obliczenia!E66+Obliczenia!E67+Obliczenia!E69</f>
        <v>59874.9118660355</v>
      </c>
      <c r="E19" s="19" t="n">
        <f aca="false">Obliczenia!F66+Obliczenia!F67+Obliczenia!F69</f>
        <v>66239.3163332545</v>
      </c>
      <c r="F19" s="19" t="n">
        <f aca="false">Obliczenia!G66+Obliczenia!G67+Obliczenia!G69</f>
        <v>68589.7570149112</v>
      </c>
    </row>
    <row r="21" customFormat="false" ht="15" hidden="false" customHeight="false" outlineLevel="0" collapsed="false">
      <c r="B21" s="11" t="s">
        <v>92</v>
      </c>
      <c r="C21" s="21" t="n">
        <f aca="false">Obliczenia!D51</f>
        <v>43</v>
      </c>
      <c r="D21" s="21" t="n">
        <f aca="false">Obliczenia!E51</f>
        <v>43</v>
      </c>
      <c r="E21" s="21" t="n">
        <f aca="false">Obliczenia!F51</f>
        <v>49</v>
      </c>
      <c r="F21" s="21" t="n">
        <f aca="false">Obliczenia!G51</f>
        <v>49</v>
      </c>
    </row>
    <row r="22" customFormat="false" ht="15" hidden="false" customHeight="false" outlineLevel="0" collapsed="false">
      <c r="B22" s="11" t="s">
        <v>93</v>
      </c>
      <c r="C22" s="21" t="n">
        <f aca="false">Obliczenia!D48</f>
        <v>9</v>
      </c>
      <c r="D22" s="21" t="n">
        <f aca="false">Obliczenia!E48</f>
        <v>9</v>
      </c>
      <c r="E22" s="21" t="n">
        <f aca="false">Obliczenia!F48</f>
        <v>10</v>
      </c>
      <c r="F22" s="21" t="n">
        <f aca="false">Obliczenia!G48</f>
        <v>10</v>
      </c>
    </row>
    <row r="23" customFormat="false" ht="15" hidden="false" customHeight="false" outlineLevel="0" collapsed="false">
      <c r="B23" s="0" t="s">
        <v>94</v>
      </c>
      <c r="C23" s="22" t="n">
        <f aca="false">Obliczenia!D50</f>
        <v>168.4808</v>
      </c>
      <c r="D23" s="22" t="n">
        <f aca="false">Obliczenia!E50</f>
        <v>168.4808</v>
      </c>
      <c r="E23" s="22" t="n">
        <f aca="false">Obliczenia!F50</f>
        <v>194.5616</v>
      </c>
      <c r="F23" s="22" t="n">
        <f aca="false">Obliczenia!G50</f>
        <v>194.5616</v>
      </c>
    </row>
    <row r="25" customFormat="false" ht="15" hidden="false" customHeight="false" outlineLevel="0" collapsed="false">
      <c r="B25" s="4" t="s">
        <v>95</v>
      </c>
      <c r="C25" s="4" t="s">
        <v>96</v>
      </c>
      <c r="D25" s="4" t="s">
        <v>97</v>
      </c>
    </row>
    <row r="26" customFormat="false" ht="15" hidden="false" customHeight="false" outlineLevel="0" collapsed="false">
      <c r="B26" s="0" t="s">
        <v>98</v>
      </c>
      <c r="C26" s="19" t="n">
        <f aca="false">Obliczenia!F70-Obliczenia!D70</f>
        <v>143564.079847101</v>
      </c>
      <c r="D26" s="19" t="n">
        <f aca="false">Obliczenia!G70-Obliczenia!E70</f>
        <v>143564.0798471</v>
      </c>
    </row>
    <row r="27" customFormat="false" ht="15" hidden="false" customHeight="false" outlineLevel="0" collapsed="false">
      <c r="B27" s="0" t="s">
        <v>99</v>
      </c>
      <c r="C27" s="19" t="n">
        <f aca="false">Obliczenia!F70-Obliczenia!D70+(c_slupek22-c_slupek)*m_MP*e_mnoznik</f>
        <v>477050.470379645</v>
      </c>
      <c r="D27" s="19" t="n">
        <f aca="false">Obliczenia!G70-Obliczenia!E70+(c_slupek22-c_slupek)*m_MP*e_mnoznik</f>
        <v>477050.470379645</v>
      </c>
    </row>
    <row r="28" customFormat="false" ht="15" hidden="false" customHeight="false" outlineLevel="0" collapsed="false">
      <c r="B28" s="0" t="s">
        <v>100</v>
      </c>
      <c r="C28" s="19" t="n">
        <f aca="false">m_malowanie*e_mnoznik</f>
        <v>251927.218934911</v>
      </c>
      <c r="D28" s="19" t="n">
        <f aca="false">m_malowanie*e_mnoznik</f>
        <v>251927.218934911</v>
      </c>
    </row>
    <row r="30" customFormat="false" ht="15" hidden="false" customHeight="false" outlineLevel="0" collapsed="false">
      <c r="B30" s="11" t="str">
        <f aca="false">"Analiza liczby osób - wariant: "&amp;in_analiza</f>
        <v>Analiza liczby osób - wariant: 2000 kg</v>
      </c>
    </row>
    <row r="31" customFormat="false" ht="15" hidden="false" customHeight="false" outlineLevel="0" collapsed="false">
      <c r="B31" s="4" t="s">
        <v>101</v>
      </c>
      <c r="C31" s="17" t="s">
        <v>102</v>
      </c>
      <c r="D31" s="17" t="s">
        <v>103</v>
      </c>
      <c r="E31" s="17" t="s">
        <v>104</v>
      </c>
      <c r="F31" s="17" t="s">
        <v>105</v>
      </c>
      <c r="G31" s="17" t="s">
        <v>106</v>
      </c>
      <c r="H31" s="17" t="s">
        <v>107</v>
      </c>
    </row>
    <row r="32" customFormat="false" ht="15" hidden="false" customHeight="false" outlineLevel="0" collapsed="false">
      <c r="B32" s="0" t="s">
        <v>108</v>
      </c>
      <c r="C32" s="19" t="n">
        <f aca="false">Obliczenia!I70</f>
        <v>965679.929906982</v>
      </c>
      <c r="D32" s="19" t="n">
        <f aca="false">Obliczenia!J70</f>
        <v>953567.068923511</v>
      </c>
      <c r="E32" s="19" t="n">
        <f aca="false">Obliczenia!K70</f>
        <v>951980.820675503</v>
      </c>
      <c r="F32" s="19" t="n">
        <f aca="false">Obliczenia!L70</f>
        <v>948060.597174319</v>
      </c>
      <c r="G32" s="19" t="n">
        <f aca="false">Obliczenia!M70</f>
        <v>947852.259148087</v>
      </c>
      <c r="H32" s="19" t="n">
        <f aca="false">Obliczenia!N70</f>
        <v>946466.865335537</v>
      </c>
    </row>
    <row r="33" customFormat="false" ht="15" hidden="false" customHeight="false" outlineLevel="0" collapsed="false">
      <c r="B33" s="0" t="s">
        <v>109</v>
      </c>
      <c r="C33" s="19" t="n">
        <f aca="false">Obliczenia!I72</f>
        <v>16094.6654984497</v>
      </c>
      <c r="D33" s="19" t="n">
        <f aca="false">Obliczenia!J72</f>
        <v>15892.7844820585</v>
      </c>
      <c r="E33" s="19" t="n">
        <f aca="false">Obliczenia!K72</f>
        <v>15866.3470112584</v>
      </c>
      <c r="F33" s="19" t="n">
        <f aca="false">Obliczenia!L72</f>
        <v>15801.0099529053</v>
      </c>
      <c r="G33" s="19" t="n">
        <f aca="false">Obliczenia!M72</f>
        <v>15797.5376524681</v>
      </c>
      <c r="H33" s="19" t="n">
        <f aca="false">Obliczenia!N72</f>
        <v>15774.4477555923</v>
      </c>
    </row>
    <row r="34" customFormat="false" ht="15" hidden="false" customHeight="false" outlineLevel="0" collapsed="false">
      <c r="B34" s="0" t="s">
        <v>92</v>
      </c>
      <c r="C34" s="23" t="n">
        <f aca="false">Obliczenia!I51</f>
        <v>82</v>
      </c>
      <c r="D34" s="23" t="n">
        <f aca="false">Obliczenia!J51</f>
        <v>55</v>
      </c>
      <c r="E34" s="23" t="n">
        <f aca="false">Obliczenia!K51</f>
        <v>43</v>
      </c>
      <c r="F34" s="23" t="n">
        <f aca="false">Obliczenia!L51</f>
        <v>34</v>
      </c>
      <c r="G34" s="23" t="n">
        <f aca="false">Obliczenia!M51</f>
        <v>29</v>
      </c>
      <c r="H34" s="23" t="n">
        <f aca="false">Obliczenia!N51</f>
        <v>25</v>
      </c>
    </row>
    <row r="35" customFormat="false" ht="15" hidden="false" customHeight="false" outlineLevel="0" collapsed="false">
      <c r="B35" s="0" t="s">
        <v>110</v>
      </c>
      <c r="C35" s="23" t="n">
        <f aca="false">Obliczenia!I48</f>
        <v>17</v>
      </c>
      <c r="D35" s="23" t="n">
        <f aca="false">Obliczenia!J48</f>
        <v>11</v>
      </c>
      <c r="E35" s="23" t="n">
        <f aca="false">Obliczenia!K48</f>
        <v>9</v>
      </c>
      <c r="F35" s="23" t="n">
        <f aca="false">Obliczenia!L48</f>
        <v>7</v>
      </c>
      <c r="G35" s="23" t="n">
        <f aca="false">Obliczenia!M48</f>
        <v>6</v>
      </c>
      <c r="H35" s="23" t="n">
        <f aca="false">Obliczenia!N48</f>
        <v>5</v>
      </c>
    </row>
    <row r="36" customFormat="false" ht="15" hidden="false" customHeight="false" outlineLevel="0" collapsed="false">
      <c r="B36" s="0" t="s">
        <v>111</v>
      </c>
      <c r="C36" s="19" t="n">
        <f aca="false">Obliczenia!I56+Obliczenia!I63</f>
        <v>28939.318</v>
      </c>
      <c r="D36" s="19" t="n">
        <f aca="false">Obliczenia!J56+Obliczenia!J63</f>
        <v>29223.159</v>
      </c>
      <c r="E36" s="19" t="n">
        <f aca="false">Obliczenia!K56+Obliczenia!K63</f>
        <v>30461.636</v>
      </c>
      <c r="F36" s="19" t="n">
        <f aca="false">Obliczenia!L56+Obliczenia!L63</f>
        <v>30355.477</v>
      </c>
      <c r="G36" s="19" t="n">
        <f aca="false">Obliczenia!M56+Obliczenia!M63</f>
        <v>31116.636</v>
      </c>
      <c r="H36" s="19" t="n">
        <f aca="false">Obliczenia!N56+Obliczenia!N63</f>
        <v>31400.477</v>
      </c>
    </row>
    <row r="37" customFormat="false" ht="15" hidden="false" customHeight="false" outlineLevel="0" collapsed="false">
      <c r="B37" s="8" t="s">
        <v>112</v>
      </c>
    </row>
    <row r="39" customFormat="false" ht="15" hidden="false" customHeight="false" outlineLevel="0" collapsed="false">
      <c r="B39" s="4" t="s">
        <v>113</v>
      </c>
      <c r="C39" s="5"/>
      <c r="D39" s="5"/>
      <c r="E39" s="5"/>
      <c r="F39" s="5"/>
    </row>
    <row r="40" customFormat="false" ht="15" hidden="false" customHeight="false" outlineLevel="0" collapsed="false">
      <c r="B40" s="0" t="s">
        <v>114</v>
      </c>
      <c r="C40" s="16" t="str">
        <f aca="false">in_typ&amp;": "&amp;IF(in_S&gt;0,in_S&amp;" x S (2 MP)  ","")&amp;IF(in_D&gt;0,in_D&amp;" x D (4 MP)  ","")&amp;IF(in_NP&gt;0,in_NP&amp;" x N.P.  ","")&amp;"= "&amp;m_MP&amp;" MP"</f>
        <v>NK38: 15 x D (4 MP)  = 60 MP</v>
      </c>
      <c r="D40" s="16"/>
      <c r="E40" s="16"/>
      <c r="F40" s="16"/>
      <c r="G40" s="16"/>
      <c r="H40" s="16"/>
    </row>
    <row r="41" customFormat="false" ht="15" hidden="false" customHeight="false" outlineLevel="0" collapsed="false">
      <c r="B41" s="0" t="s">
        <v>25</v>
      </c>
      <c r="C41" s="16" t="str">
        <f aca="false">in_agregaty&amp;" szt."</f>
        <v>3 szt.</v>
      </c>
      <c r="D41" s="16"/>
      <c r="E41" s="16"/>
      <c r="F41" s="16"/>
      <c r="G41" s="16"/>
      <c r="H41" s="16"/>
    </row>
    <row r="42" customFormat="false" ht="15" hidden="false" customHeight="false" outlineLevel="0" collapsed="false">
      <c r="B42" s="0" t="s">
        <v>115</v>
      </c>
      <c r="C42" s="16" t="str">
        <f aca="false">IF(t_zaglebienia="","standard 170 cm",t_zaglebienia)</f>
        <v>200 cm: 15D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116</v>
      </c>
      <c r="C43" s="16" t="str">
        <f aca="false">IF(t_wymiary="","standard",t_wymiary)</f>
        <v>standard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117</v>
      </c>
      <c r="C44" s="16" t="str">
        <f aca="false">in_magistrala&amp;" x 6 m  /  "&amp;in_barierki&amp;" szt.  /  "&amp;in_maskownice&amp;" szt."</f>
        <v>4 x 6 m  /  30 szt.  /  5 szt.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118</v>
      </c>
      <c r="C45" s="16" t="str">
        <f aca="false">m_utr&amp;" (z magistrali i barierek "&amp;m_utr_auto&amp;", ręcznie "&amp;in_utr_dod&amp;")"</f>
        <v>20 (z magistrali i barierek 20, ręcznie 0)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</v>
      </c>
      <c r="C46" s="16" t="str">
        <f aca="false">in_lok&amp;IF(e_krk,"","  ("&amp;in_km&amp;" km od Krakowa)")</f>
        <v>Poza Krakowem  (280 km od Krakowa)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119</v>
      </c>
      <c r="C47" s="16" t="str">
        <f aca="false">e_km_pom&amp;" / "&amp;e_km_mon&amp;" km"</f>
        <v>280 / 330 km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120</v>
      </c>
      <c r="C48" s="16" t="str">
        <f aca="false">in_tir&amp;" TIR x "&amp;TEXT(in_tir_cena,"#,##0")&amp;" zł, rozładunek "&amp;TEXT(in_rozl_cena,"#,##0")&amp;" zł/TIR, "&amp;e_rozl_dni&amp;" dni"</f>
        <v>3 TIR x 4,000 zł, rozładunek 1,700 zł/TIR, 1.5 dni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121</v>
      </c>
      <c r="C49" s="16" t="str">
        <f aca="false">in_osoby&amp;" osób, średnia stawka "&amp;TEXT(Obliczenia!D41,"#,##0")&amp;" zł/dzień"</f>
        <v>4 osób, średnia stawka 400 zł/dzień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122</v>
      </c>
      <c r="C50" s="16" t="str">
        <f aca="false">e_dzw_dni&amp;" dni"</f>
        <v>3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123</v>
      </c>
      <c r="C51" s="16" t="str">
        <f aca="false">Obliczenia!D51&amp;" dni pracy = "&amp;Obliczenia!D48&amp;IF(e_krk," dni"," tyg.")&amp;", "&amp;TEXT(Obliczenia!D50,"0.0")&amp;" osobodni"</f>
        <v>43 dni pracy = 9 tyg., 168.5 osobodni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124</v>
      </c>
      <c r="C52" s="16" t="str">
        <f aca="false">Obliczenia!F51&amp;" dni pracy = "&amp;Obliczenia!F48&amp;IF(e_krk," dni"," tyg.")&amp;", "&amp;TEXT(Obliczenia!F50,"0.0")&amp;" osobodni"</f>
        <v>49 dni pracy = 10 tyg., 194.6 osobodni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125</v>
      </c>
      <c r="C53" s="16" t="str">
        <f aca="false">TEXT(in_zysk,"0.0%")&amp;" / "&amp;TEXT(in_zysk_min,"0.0%")</f>
        <v>12.5% / 10.0%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126</v>
      </c>
      <c r="C54" s="16" t="str">
        <f aca="false">TEXT(in_q2500,"0.0%")</f>
        <v>6.0%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63</v>
      </c>
      <c r="C55" s="16" t="str">
        <f aca="false">in_wzor</f>
        <v>Stary (poprawiony)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127</v>
      </c>
      <c r="C56" s="16" t="str">
        <f aca="false">TEXT(c_konserw*m_MP*12,"#,##0")&amp;" / "&amp;TEXT(c_konserw2*m_MP*12,"#,##0")&amp;" / "&amp;TEXT(c_konserw3*m_MP*12,"#,##0")&amp;" zł"</f>
        <v>28,800 / 32,400 / 36,000 zł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128</v>
      </c>
      <c r="C57" s="16" t="str">
        <f aca="false">in_opis&amp;""</f>
        <v>H-195/202 | L-530-544-584 | P-380 | Hpoj. G-180. D-180 | 1A4+1A5+1A6 | Bok-30 Tył-5 | mgstrl-4</v>
      </c>
      <c r="D57" s="16"/>
      <c r="E57" s="16"/>
      <c r="F57" s="16"/>
      <c r="G57" s="16"/>
      <c r="H57" s="16"/>
    </row>
    <row r="59" customFormat="false" ht="15" hidden="false" customHeight="false" outlineLevel="0" collapsed="false">
      <c r="B59" s="11" t="s">
        <v>129</v>
      </c>
      <c r="C59" s="0" t="str">
        <f aca="false">IF(COUNTIF(Dane!B63:B68,"ok")=6,"wszystko ok","sprawdź arkusz Dane")</f>
        <v>wszystko ok</v>
      </c>
    </row>
    <row r="61" customFormat="false" ht="15" hidden="false" customHeight="false" outlineLevel="0" collapsed="false">
      <c r="B61" s="4" t="s">
        <v>130</v>
      </c>
      <c r="C61" s="5"/>
      <c r="D61" s="5"/>
      <c r="E61" s="5"/>
      <c r="F61" s="5"/>
      <c r="G61" s="5"/>
      <c r="H61" s="5"/>
    </row>
    <row r="62" customFormat="false" ht="30" hidden="false" customHeight="true" outlineLevel="0" collapsed="false">
      <c r="B62" s="24" t="s">
        <v>131</v>
      </c>
      <c r="C62" s="24"/>
      <c r="D62" s="24"/>
      <c r="E62" s="24"/>
      <c r="F62" s="24"/>
      <c r="G62" s="24"/>
      <c r="H62" s="24"/>
    </row>
    <row r="63" customFormat="false" ht="30" hidden="false" customHeight="true" outlineLevel="0" collapsed="false">
      <c r="B63" s="24" t="s">
        <v>132</v>
      </c>
      <c r="C63" s="24"/>
      <c r="D63" s="24"/>
      <c r="E63" s="24"/>
      <c r="F63" s="24"/>
      <c r="G63" s="24"/>
      <c r="H63" s="24"/>
    </row>
    <row r="64" customFormat="false" ht="30" hidden="false" customHeight="true" outlineLevel="0" collapsed="false">
      <c r="B64" s="24" t="s">
        <v>133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134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135</v>
      </c>
      <c r="C66" s="24"/>
      <c r="D66" s="24"/>
      <c r="E66" s="24"/>
      <c r="F66" s="24"/>
      <c r="G66" s="24"/>
      <c r="H66" s="24"/>
    </row>
  </sheetData>
  <mergeCells count="23"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B62:H62"/>
    <mergeCell ref="B63:H63"/>
    <mergeCell ref="B64:H64"/>
    <mergeCell ref="B65:H65"/>
    <mergeCell ref="B66:H66"/>
  </mergeCells>
  <conditionalFormatting sqref="C32:H32">
    <cfRule type="expression" priority="2" aboveAverage="0" equalAverage="0" bottom="0" percent="0" rank="0" text="" dxfId="1">
      <formula>C32=MIN($C$32:$H$32)</formula>
    </cfRule>
  </conditionalFormatting>
  <conditionalFormatting sqref="C59">
    <cfRule type="expression" priority="3" aboveAverage="0" equalAverage="0" bottom="0" percent="0" rank="0" text="" dxfId="0">
      <formula>C59&lt;&gt;"wszystko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136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137</v>
      </c>
    </row>
    <row r="5" customFormat="false" ht="15" hidden="false" customHeight="false" outlineLevel="0" collapsed="false">
      <c r="B5" s="4" t="s">
        <v>138</v>
      </c>
      <c r="C5" s="5"/>
      <c r="D5" s="5"/>
      <c r="E5" s="5"/>
    </row>
    <row r="6" customFormat="false" ht="15" hidden="false" customHeight="false" outlineLevel="0" collapsed="false">
      <c r="B6" s="0" t="s">
        <v>139</v>
      </c>
      <c r="C6" s="13" t="n">
        <v>32500</v>
      </c>
      <c r="E6" s="8" t="s">
        <v>140</v>
      </c>
    </row>
    <row r="7" customFormat="false" ht="15" hidden="false" customHeight="false" outlineLevel="0" collapsed="false">
      <c r="B7" s="0" t="s">
        <v>141</v>
      </c>
      <c r="C7" s="13" t="n">
        <v>700</v>
      </c>
      <c r="E7" s="8" t="s">
        <v>142</v>
      </c>
    </row>
    <row r="8" customFormat="false" ht="15" hidden="false" customHeight="false" outlineLevel="0" collapsed="false">
      <c r="B8" s="0" t="s">
        <v>143</v>
      </c>
      <c r="C8" s="14" t="n">
        <v>0.61</v>
      </c>
      <c r="E8" s="8" t="s">
        <v>144</v>
      </c>
    </row>
    <row r="9" customFormat="false" ht="15" hidden="false" customHeight="false" outlineLevel="0" collapsed="false">
      <c r="B9" s="0" t="s">
        <v>145</v>
      </c>
      <c r="C9" s="14" t="n">
        <v>0.85</v>
      </c>
      <c r="E9" s="8" t="s">
        <v>146</v>
      </c>
    </row>
    <row r="10" customFormat="false" ht="15" hidden="false" customHeight="false" outlineLevel="0" collapsed="false">
      <c r="B10" s="0" t="s">
        <v>147</v>
      </c>
      <c r="C10" s="13" t="n">
        <v>1170</v>
      </c>
      <c r="E10" s="8" t="s">
        <v>148</v>
      </c>
    </row>
    <row r="11" customFormat="false" ht="15" hidden="false" customHeight="false" outlineLevel="0" collapsed="false">
      <c r="B11" s="0" t="s">
        <v>149</v>
      </c>
      <c r="C11" s="13" t="n">
        <v>1560</v>
      </c>
      <c r="E11" s="8" t="s">
        <v>150</v>
      </c>
    </row>
    <row r="12" customFormat="false" ht="15" hidden="false" customHeight="false" outlineLevel="0" collapsed="false">
      <c r="B12" s="0" t="s">
        <v>151</v>
      </c>
      <c r="C12" s="13" t="n">
        <v>1820</v>
      </c>
      <c r="E12" s="8" t="s">
        <v>152</v>
      </c>
    </row>
    <row r="13" customFormat="false" ht="15" hidden="false" customHeight="false" outlineLevel="0" collapsed="false">
      <c r="B13" s="0" t="s">
        <v>153</v>
      </c>
      <c r="C13" s="13" t="n">
        <v>3110</v>
      </c>
      <c r="E13" s="8" t="s">
        <v>154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155</v>
      </c>
    </row>
    <row r="15" customFormat="false" ht="15" hidden="false" customHeight="false" outlineLevel="0" collapsed="false">
      <c r="B15" s="0" t="s">
        <v>156</v>
      </c>
      <c r="C15" s="25" t="n">
        <v>0.00127</v>
      </c>
      <c r="E15" s="8" t="s">
        <v>157</v>
      </c>
    </row>
    <row r="16" customFormat="false" ht="15" hidden="false" customHeight="false" outlineLevel="0" collapsed="false">
      <c r="B16" s="0" t="s">
        <v>158</v>
      </c>
      <c r="C16" s="14" t="n">
        <v>0.07</v>
      </c>
      <c r="E16" s="8" t="s">
        <v>159</v>
      </c>
    </row>
    <row r="17" customFormat="false" ht="15" hidden="false" customHeight="false" outlineLevel="0" collapsed="false">
      <c r="B17" s="4" t="s">
        <v>160</v>
      </c>
      <c r="C17" s="5"/>
      <c r="D17" s="5"/>
      <c r="E17" s="5"/>
    </row>
    <row r="18" customFormat="false" ht="15" hidden="false" customHeight="false" outlineLevel="0" collapsed="false">
      <c r="B18" s="0" t="s">
        <v>161</v>
      </c>
      <c r="C18" s="13" t="n">
        <v>6500</v>
      </c>
      <c r="E18" s="8" t="s">
        <v>162</v>
      </c>
    </row>
    <row r="19" customFormat="false" ht="15" hidden="false" customHeight="false" outlineLevel="0" collapsed="false">
      <c r="B19" s="0" t="s">
        <v>163</v>
      </c>
      <c r="C19" s="13" t="n">
        <v>1500</v>
      </c>
      <c r="E19" s="8" t="s">
        <v>164</v>
      </c>
    </row>
    <row r="20" customFormat="false" ht="15" hidden="false" customHeight="false" outlineLevel="0" collapsed="false">
      <c r="B20" s="0" t="s">
        <v>165</v>
      </c>
      <c r="C20" s="13" t="n">
        <v>200</v>
      </c>
      <c r="E20" s="8" t="s">
        <v>166</v>
      </c>
    </row>
    <row r="21" customFormat="false" ht="15" hidden="false" customHeight="false" outlineLevel="0" collapsed="false">
      <c r="B21" s="0" t="s">
        <v>167</v>
      </c>
      <c r="C21" s="13" t="n">
        <v>500</v>
      </c>
      <c r="E21" s="8" t="s">
        <v>168</v>
      </c>
    </row>
    <row r="22" customFormat="false" ht="15" hidden="false" customHeight="false" outlineLevel="0" collapsed="false">
      <c r="B22" s="0" t="s">
        <v>169</v>
      </c>
      <c r="C22" s="13" t="n">
        <v>50</v>
      </c>
      <c r="E22" s="8" t="s">
        <v>168</v>
      </c>
    </row>
    <row r="23" customFormat="false" ht="15" hidden="false" customHeight="false" outlineLevel="0" collapsed="false">
      <c r="B23" s="0" t="s">
        <v>170</v>
      </c>
      <c r="C23" s="13" t="n">
        <v>1080</v>
      </c>
      <c r="E23" s="8" t="s">
        <v>171</v>
      </c>
    </row>
    <row r="24" customFormat="false" ht="15" hidden="false" customHeight="false" outlineLevel="0" collapsed="false">
      <c r="B24" s="0" t="s">
        <v>172</v>
      </c>
      <c r="C24" s="13" t="n">
        <v>1175</v>
      </c>
      <c r="E24" s="8" t="s">
        <v>173</v>
      </c>
    </row>
    <row r="25" customFormat="false" ht="15" hidden="false" customHeight="false" outlineLevel="0" collapsed="false">
      <c r="B25" s="0" t="s">
        <v>174</v>
      </c>
      <c r="C25" s="13" t="n">
        <v>1250</v>
      </c>
      <c r="E25" s="8" t="s">
        <v>175</v>
      </c>
    </row>
    <row r="26" customFormat="false" ht="15" hidden="false" customHeight="false" outlineLevel="0" collapsed="false">
      <c r="B26" s="0" t="s">
        <v>176</v>
      </c>
      <c r="C26" s="26" t="n">
        <f aca="false">0.2*11+0.4*11+2*14+6*11+6*5+6*10</f>
        <v>190.6</v>
      </c>
      <c r="E26" s="8" t="s">
        <v>177</v>
      </c>
    </row>
    <row r="27" customFormat="false" ht="15" hidden="false" customHeight="false" outlineLevel="0" collapsed="false">
      <c r="B27" s="4" t="s">
        <v>178</v>
      </c>
      <c r="C27" s="5"/>
      <c r="D27" s="5"/>
      <c r="E27" s="5"/>
    </row>
    <row r="28" customFormat="false" ht="15" hidden="false" customHeight="false" outlineLevel="0" collapsed="false">
      <c r="B28" s="0" t="s">
        <v>179</v>
      </c>
      <c r="C28" s="13" t="n">
        <v>600</v>
      </c>
      <c r="E28" s="8" t="s">
        <v>180</v>
      </c>
    </row>
    <row r="29" customFormat="false" ht="15" hidden="false" customHeight="false" outlineLevel="0" collapsed="false">
      <c r="B29" s="0" t="s">
        <v>181</v>
      </c>
      <c r="C29" s="13" t="n">
        <v>700</v>
      </c>
      <c r="E29" s="8" t="s">
        <v>182</v>
      </c>
    </row>
    <row r="30" customFormat="false" ht="15" hidden="false" customHeight="false" outlineLevel="0" collapsed="false">
      <c r="B30" s="0" t="s">
        <v>183</v>
      </c>
      <c r="C30" s="13" t="n">
        <v>1000</v>
      </c>
      <c r="E30" s="8" t="s">
        <v>184</v>
      </c>
    </row>
    <row r="31" customFormat="false" ht="15" hidden="false" customHeight="false" outlineLevel="0" collapsed="false">
      <c r="B31" s="0" t="s">
        <v>185</v>
      </c>
      <c r="C31" s="13" t="n">
        <v>1800</v>
      </c>
      <c r="E31" s="8" t="s">
        <v>186</v>
      </c>
    </row>
    <row r="32" customFormat="false" ht="15" hidden="false" customHeight="false" outlineLevel="0" collapsed="false">
      <c r="B32" s="4" t="s">
        <v>187</v>
      </c>
      <c r="C32" s="5"/>
      <c r="D32" s="5"/>
      <c r="E32" s="5"/>
    </row>
    <row r="33" customFormat="false" ht="15" hidden="false" customHeight="false" outlineLevel="0" collapsed="false">
      <c r="B33" s="0" t="s">
        <v>188</v>
      </c>
      <c r="C33" s="13" t="n">
        <v>6400</v>
      </c>
      <c r="E33" s="8" t="s">
        <v>189</v>
      </c>
    </row>
    <row r="34" customFormat="false" ht="15" hidden="false" customHeight="false" outlineLevel="0" collapsed="false">
      <c r="B34" s="0" t="s">
        <v>190</v>
      </c>
      <c r="C34" s="13" t="n">
        <v>13500</v>
      </c>
      <c r="E34" s="8" t="s">
        <v>191</v>
      </c>
    </row>
    <row r="35" customFormat="false" ht="15" hidden="false" customHeight="false" outlineLevel="0" collapsed="false">
      <c r="B35" s="0" t="s">
        <v>192</v>
      </c>
      <c r="C35" s="13" t="n">
        <v>200</v>
      </c>
      <c r="E35" s="8" t="s">
        <v>193</v>
      </c>
    </row>
    <row r="36" customFormat="false" ht="15" hidden="false" customHeight="false" outlineLevel="0" collapsed="false">
      <c r="B36" s="0" t="s">
        <v>194</v>
      </c>
      <c r="C36" s="13" t="n">
        <v>1700</v>
      </c>
      <c r="E36" s="8" t="s">
        <v>195</v>
      </c>
    </row>
    <row r="37" customFormat="false" ht="15" hidden="false" customHeight="false" outlineLevel="0" collapsed="false">
      <c r="B37" s="0" t="s">
        <v>196</v>
      </c>
      <c r="C37" s="13" t="n">
        <v>6300</v>
      </c>
      <c r="E37" s="8" t="s">
        <v>197</v>
      </c>
    </row>
    <row r="38" customFormat="false" ht="15" hidden="false" customHeight="false" outlineLevel="0" collapsed="false">
      <c r="B38" s="0" t="s">
        <v>198</v>
      </c>
      <c r="C38" s="9" t="n">
        <v>0.37</v>
      </c>
      <c r="E38" s="8" t="s">
        <v>199</v>
      </c>
    </row>
    <row r="39" customFormat="false" ht="15" hidden="false" customHeight="false" outlineLevel="0" collapsed="false">
      <c r="B39" s="4" t="s">
        <v>200</v>
      </c>
      <c r="C39" s="5"/>
      <c r="D39" s="5"/>
      <c r="E39" s="5"/>
    </row>
    <row r="40" customFormat="false" ht="15" hidden="false" customHeight="false" outlineLevel="0" collapsed="false">
      <c r="B40" s="0" t="s">
        <v>201</v>
      </c>
      <c r="C40" s="9" t="n">
        <v>5.5</v>
      </c>
      <c r="E40" s="8" t="s">
        <v>202</v>
      </c>
    </row>
    <row r="41" customFormat="false" ht="15" hidden="false" customHeight="false" outlineLevel="0" collapsed="false">
      <c r="B41" s="0" t="s">
        <v>203</v>
      </c>
      <c r="C41" s="9" t="n">
        <v>7</v>
      </c>
      <c r="E41" s="8" t="s">
        <v>202</v>
      </c>
    </row>
    <row r="42" customFormat="false" ht="15" hidden="false" customHeight="false" outlineLevel="0" collapsed="false">
      <c r="B42" s="0" t="s">
        <v>204</v>
      </c>
      <c r="C42" s="9" t="n">
        <v>7</v>
      </c>
      <c r="E42" s="8" t="s">
        <v>205</v>
      </c>
    </row>
    <row r="43" customFormat="false" ht="15" hidden="false" customHeight="false" outlineLevel="0" collapsed="false">
      <c r="B43" s="0" t="s">
        <v>206</v>
      </c>
      <c r="C43" s="9" t="n">
        <v>0.5</v>
      </c>
      <c r="E43" s="8" t="s">
        <v>207</v>
      </c>
    </row>
    <row r="44" customFormat="false" ht="15" hidden="false" customHeight="false" outlineLevel="0" collapsed="false">
      <c r="B44" s="0" t="s">
        <v>208</v>
      </c>
      <c r="C44" s="9" t="n">
        <v>0.5</v>
      </c>
      <c r="E44" s="8" t="s">
        <v>207</v>
      </c>
    </row>
    <row r="45" customFormat="false" ht="15" hidden="false" customHeight="false" outlineLevel="0" collapsed="false">
      <c r="B45" s="0" t="s">
        <v>209</v>
      </c>
      <c r="C45" s="9" t="n">
        <v>0.5</v>
      </c>
      <c r="E45" s="8" t="s">
        <v>210</v>
      </c>
    </row>
    <row r="46" customFormat="false" ht="15" hidden="false" customHeight="false" outlineLevel="0" collapsed="false">
      <c r="B46" s="0" t="s">
        <v>211</v>
      </c>
      <c r="C46" s="13" t="n">
        <v>2400</v>
      </c>
      <c r="E46" s="8" t="s">
        <v>212</v>
      </c>
    </row>
    <row r="47" customFormat="false" ht="15" hidden="false" customHeight="false" outlineLevel="0" collapsed="false">
      <c r="B47" s="0" t="s">
        <v>213</v>
      </c>
      <c r="C47" s="13" t="n">
        <v>2000</v>
      </c>
      <c r="E47" s="8" t="s">
        <v>214</v>
      </c>
    </row>
    <row r="48" customFormat="false" ht="15" hidden="false" customHeight="false" outlineLevel="0" collapsed="false">
      <c r="B48" s="0" t="s">
        <v>215</v>
      </c>
      <c r="C48" s="9" t="n">
        <v>5</v>
      </c>
      <c r="E48" s="8" t="s">
        <v>216</v>
      </c>
    </row>
    <row r="49" customFormat="false" ht="15" hidden="false" customHeight="false" outlineLevel="0" collapsed="false">
      <c r="B49" s="0" t="s">
        <v>217</v>
      </c>
      <c r="C49" s="9" t="n">
        <v>0.6</v>
      </c>
      <c r="E49" s="8" t="s">
        <v>216</v>
      </c>
    </row>
    <row r="50" customFormat="false" ht="15" hidden="false" customHeight="false" outlineLevel="0" collapsed="false">
      <c r="B50" s="0" t="s">
        <v>218</v>
      </c>
      <c r="C50" s="9" t="n">
        <v>5</v>
      </c>
      <c r="E50" s="8" t="s">
        <v>219</v>
      </c>
    </row>
    <row r="51" customFormat="false" ht="15" hidden="false" customHeight="false" outlineLevel="0" collapsed="false">
      <c r="B51" s="4" t="s">
        <v>220</v>
      </c>
      <c r="C51" s="5"/>
      <c r="D51" s="5"/>
      <c r="E51" s="5"/>
    </row>
    <row r="52" customFormat="false" ht="15" hidden="false" customHeight="false" outlineLevel="0" collapsed="false">
      <c r="B52" s="0" t="s">
        <v>221</v>
      </c>
      <c r="C52" s="9" t="n">
        <v>50</v>
      </c>
      <c r="E52" s="8" t="s">
        <v>222</v>
      </c>
    </row>
    <row r="53" customFormat="false" ht="15" hidden="false" customHeight="false" outlineLevel="0" collapsed="false">
      <c r="B53" s="0" t="s">
        <v>223</v>
      </c>
      <c r="C53" s="9" t="n">
        <v>20</v>
      </c>
      <c r="E53" s="8" t="s">
        <v>224</v>
      </c>
    </row>
    <row r="54" customFormat="false" ht="15" hidden="false" customHeight="false" outlineLevel="0" collapsed="false">
      <c r="B54" s="0" t="s">
        <v>225</v>
      </c>
      <c r="C54" s="9" t="n">
        <v>650</v>
      </c>
      <c r="E54" s="8" t="s">
        <v>226</v>
      </c>
    </row>
    <row r="55" customFormat="false" ht="15" hidden="false" customHeight="false" outlineLevel="0" collapsed="false">
      <c r="B55" s="0" t="s">
        <v>227</v>
      </c>
      <c r="C55" s="9" t="n">
        <v>12</v>
      </c>
      <c r="E55" s="8" t="s">
        <v>228</v>
      </c>
    </row>
    <row r="56" customFormat="false" ht="15" hidden="false" customHeight="false" outlineLevel="0" collapsed="false">
      <c r="B56" s="0" t="s">
        <v>229</v>
      </c>
      <c r="C56" s="26" t="n">
        <v>9.4</v>
      </c>
      <c r="E56" s="8" t="s">
        <v>228</v>
      </c>
    </row>
    <row r="57" customFormat="false" ht="15" hidden="false" customHeight="false" outlineLevel="0" collapsed="false">
      <c r="B57" s="0" t="s">
        <v>230</v>
      </c>
      <c r="C57" s="9" t="n">
        <v>1</v>
      </c>
      <c r="E57" s="8" t="s">
        <v>231</v>
      </c>
    </row>
    <row r="58" customFormat="false" ht="15" hidden="false" customHeight="false" outlineLevel="0" collapsed="false">
      <c r="B58" s="0" t="s">
        <v>232</v>
      </c>
      <c r="C58" s="9" t="n">
        <v>2</v>
      </c>
      <c r="E58" s="8" t="s">
        <v>233</v>
      </c>
    </row>
    <row r="59" customFormat="false" ht="15" hidden="false" customHeight="false" outlineLevel="0" collapsed="false">
      <c r="B59" s="4" t="s">
        <v>234</v>
      </c>
      <c r="C59" s="5"/>
      <c r="D59" s="5"/>
      <c r="E59" s="5"/>
    </row>
    <row r="60" customFormat="false" ht="15" hidden="false" customHeight="false" outlineLevel="0" collapsed="false">
      <c r="B60" s="0" t="s">
        <v>235</v>
      </c>
      <c r="C60" s="13" t="n">
        <v>500</v>
      </c>
      <c r="E60" s="8" t="s">
        <v>236</v>
      </c>
    </row>
    <row r="61" customFormat="false" ht="15" hidden="false" customHeight="false" outlineLevel="0" collapsed="false">
      <c r="B61" s="0" t="s">
        <v>237</v>
      </c>
      <c r="C61" s="13" t="n">
        <v>400</v>
      </c>
      <c r="E61" s="8" t="s">
        <v>238</v>
      </c>
    </row>
    <row r="62" customFormat="false" ht="15" hidden="false" customHeight="false" outlineLevel="0" collapsed="false">
      <c r="B62" s="0" t="s">
        <v>239</v>
      </c>
      <c r="C62" s="13" t="n">
        <v>350</v>
      </c>
      <c r="E62" s="8" t="s">
        <v>240</v>
      </c>
    </row>
    <row r="63" customFormat="false" ht="15" hidden="false" customHeight="false" outlineLevel="0" collapsed="false">
      <c r="B63" s="0" t="s">
        <v>241</v>
      </c>
      <c r="C63" s="13" t="n">
        <v>45</v>
      </c>
      <c r="E63" s="8" t="s">
        <v>242</v>
      </c>
    </row>
    <row r="64" customFormat="false" ht="15" hidden="false" customHeight="false" outlineLevel="0" collapsed="false">
      <c r="B64" s="0" t="s">
        <v>243</v>
      </c>
      <c r="C64" s="13" t="n">
        <v>130</v>
      </c>
      <c r="E64" s="8" t="s">
        <v>244</v>
      </c>
    </row>
    <row r="65" customFormat="false" ht="15" hidden="false" customHeight="false" outlineLevel="0" collapsed="false">
      <c r="B65" s="4" t="s">
        <v>245</v>
      </c>
      <c r="C65" s="5"/>
      <c r="D65" s="5"/>
      <c r="E65" s="5"/>
    </row>
    <row r="66" customFormat="false" ht="15" hidden="false" customHeight="false" outlineLevel="0" collapsed="false">
      <c r="B66" s="0" t="s">
        <v>246</v>
      </c>
      <c r="C66" s="14" t="n">
        <v>0.005</v>
      </c>
      <c r="E66" s="8" t="s">
        <v>247</v>
      </c>
    </row>
    <row r="67" customFormat="false" ht="15" hidden="false" customHeight="false" outlineLevel="0" collapsed="false">
      <c r="B67" s="0" t="s">
        <v>248</v>
      </c>
      <c r="C67" s="14" t="n">
        <v>0.025</v>
      </c>
      <c r="E67" s="8" t="s">
        <v>249</v>
      </c>
    </row>
    <row r="68" customFormat="false" ht="15" hidden="false" customHeight="false" outlineLevel="0" collapsed="false">
      <c r="B68" s="0" t="s">
        <v>250</v>
      </c>
      <c r="C68" s="14" t="n">
        <v>0.14</v>
      </c>
      <c r="E68" s="8" t="s">
        <v>251</v>
      </c>
    </row>
    <row r="69" customFormat="false" ht="15" hidden="false" customHeight="false" outlineLevel="0" collapsed="false">
      <c r="B69" s="4" t="s">
        <v>252</v>
      </c>
      <c r="C69" s="5"/>
      <c r="D69" s="5"/>
      <c r="E69" s="5"/>
    </row>
    <row r="70" customFormat="false" ht="15" hidden="false" customHeight="false" outlineLevel="0" collapsed="false">
      <c r="B70" s="0" t="s">
        <v>253</v>
      </c>
      <c r="C70" s="13" t="n">
        <v>40</v>
      </c>
      <c r="E70" s="8" t="s">
        <v>254</v>
      </c>
    </row>
    <row r="71" customFormat="false" ht="15" hidden="false" customHeight="false" outlineLevel="0" collapsed="false">
      <c r="B71" s="0" t="s">
        <v>255</v>
      </c>
      <c r="C71" s="13" t="n">
        <v>45</v>
      </c>
      <c r="E71" s="8" t="s">
        <v>256</v>
      </c>
    </row>
    <row r="72" customFormat="false" ht="15" hidden="false" customHeight="false" outlineLevel="0" collapsed="false">
      <c r="B72" s="0" t="s">
        <v>257</v>
      </c>
      <c r="C72" s="13" t="n">
        <v>50</v>
      </c>
      <c r="E72" s="8" t="s">
        <v>258</v>
      </c>
    </row>
    <row r="74" customFormat="false" ht="15" hidden="false" customHeight="false" outlineLevel="0" collapsed="false">
      <c r="B74" s="4" t="s">
        <v>259</v>
      </c>
      <c r="C74" s="5"/>
      <c r="D74" s="5"/>
      <c r="E74" s="5"/>
    </row>
    <row r="75" customFormat="false" ht="15" hidden="false" customHeight="false" outlineLevel="0" collapsed="false">
      <c r="B75" s="11" t="s">
        <v>260</v>
      </c>
      <c r="C75" s="11" t="s">
        <v>261</v>
      </c>
      <c r="D75" s="11" t="s">
        <v>262</v>
      </c>
    </row>
    <row r="76" customFormat="false" ht="15" hidden="false" customHeight="false" outlineLevel="0" collapsed="false">
      <c r="B76" s="0" t="n">
        <v>175</v>
      </c>
      <c r="C76" s="27" t="n">
        <v>0</v>
      </c>
      <c r="D76" s="28" t="n">
        <v>2000</v>
      </c>
    </row>
    <row r="77" customFormat="false" ht="15" hidden="false" customHeight="false" outlineLevel="0" collapsed="false">
      <c r="B77" s="0" t="n">
        <v>180</v>
      </c>
      <c r="C77" s="27" t="n">
        <v>500</v>
      </c>
      <c r="D77" s="28" t="n">
        <v>2000</v>
      </c>
    </row>
    <row r="78" customFormat="false" ht="15" hidden="false" customHeight="false" outlineLevel="0" collapsed="false">
      <c r="B78" s="0" t="n">
        <v>185</v>
      </c>
      <c r="C78" s="27" t="n">
        <v>550</v>
      </c>
      <c r="D78" s="28" t="n">
        <v>2000</v>
      </c>
    </row>
    <row r="79" customFormat="false" ht="15" hidden="false" customHeight="false" outlineLevel="0" collapsed="false">
      <c r="B79" s="0" t="n">
        <v>190</v>
      </c>
      <c r="C79" s="27" t="n">
        <v>600</v>
      </c>
      <c r="D79" s="28" t="n">
        <v>2000</v>
      </c>
    </row>
    <row r="80" customFormat="false" ht="15" hidden="false" customHeight="false" outlineLevel="0" collapsed="false">
      <c r="B80" s="0" t="n">
        <v>195</v>
      </c>
      <c r="C80" s="27" t="n">
        <v>650</v>
      </c>
      <c r="D80" s="28" t="n">
        <v>2000</v>
      </c>
    </row>
    <row r="81" customFormat="false" ht="15" hidden="false" customHeight="false" outlineLevel="0" collapsed="false">
      <c r="B81" s="0" t="n">
        <v>200</v>
      </c>
      <c r="C81" s="27" t="n">
        <v>700</v>
      </c>
      <c r="D81" s="28" t="n">
        <v>2000</v>
      </c>
    </row>
    <row r="82" customFormat="false" ht="15" hidden="false" customHeight="false" outlineLevel="0" collapsed="false">
      <c r="B82" s="0" t="n">
        <v>210</v>
      </c>
      <c r="C82" s="27" t="n">
        <v>750</v>
      </c>
      <c r="D82" s="28" t="n">
        <v>2250</v>
      </c>
    </row>
    <row r="83" customFormat="false" ht="15" hidden="false" customHeight="false" outlineLevel="0" collapsed="false">
      <c r="B83" s="0" t="n">
        <v>220</v>
      </c>
      <c r="C83" s="27" t="n">
        <v>800</v>
      </c>
      <c r="D83" s="28" t="n">
        <v>2250</v>
      </c>
    </row>
    <row r="84" customFormat="false" ht="15" hidden="false" customHeight="false" outlineLevel="0" collapsed="false">
      <c r="B84" s="0" t="n">
        <v>225</v>
      </c>
      <c r="C84" s="27" t="n">
        <v>850</v>
      </c>
      <c r="D84" s="28" t="n">
        <v>2250</v>
      </c>
    </row>
    <row r="86" customFormat="false" ht="15" hidden="false" customHeight="false" outlineLevel="0" collapsed="false">
      <c r="B86" s="4" t="s">
        <v>263</v>
      </c>
      <c r="C86" s="5"/>
      <c r="D86" s="5"/>
      <c r="E86" s="5"/>
      <c r="F86" s="5"/>
    </row>
    <row r="87" customFormat="false" ht="15" hidden="false" customHeight="false" outlineLevel="0" collapsed="false">
      <c r="B87" s="11" t="s">
        <v>264</v>
      </c>
      <c r="C87" s="11" t="s">
        <v>265</v>
      </c>
      <c r="D87" s="11" t="s">
        <v>266</v>
      </c>
      <c r="E87" s="11" t="s">
        <v>267</v>
      </c>
      <c r="F87" s="11" t="s">
        <v>268</v>
      </c>
    </row>
    <row r="88" customFormat="false" ht="15" hidden="false" customHeight="false" outlineLevel="0" collapsed="false">
      <c r="B88" s="0" t="s">
        <v>269</v>
      </c>
      <c r="C88" s="29" t="n">
        <v>45</v>
      </c>
      <c r="D88" s="28" t="n">
        <v>9.6</v>
      </c>
      <c r="E88" s="28" t="n">
        <v>9.6</v>
      </c>
      <c r="F88" s="30" t="s">
        <v>270</v>
      </c>
    </row>
    <row r="89" customFormat="false" ht="15" hidden="false" customHeight="false" outlineLevel="0" collapsed="false">
      <c r="B89" s="0" t="s">
        <v>271</v>
      </c>
      <c r="C89" s="29" t="n">
        <v>8</v>
      </c>
      <c r="D89" s="28" t="n">
        <v>4</v>
      </c>
      <c r="E89" s="28" t="n">
        <v>4</v>
      </c>
      <c r="F89" s="30" t="s">
        <v>270</v>
      </c>
    </row>
    <row r="90" customFormat="false" ht="15" hidden="false" customHeight="false" outlineLevel="0" collapsed="false">
      <c r="B90" s="0" t="s">
        <v>272</v>
      </c>
      <c r="C90" s="29" t="n">
        <v>36</v>
      </c>
      <c r="D90" s="28" t="n">
        <v>2</v>
      </c>
      <c r="E90" s="28" t="n">
        <v>2</v>
      </c>
      <c r="F90" s="30" t="s">
        <v>270</v>
      </c>
    </row>
    <row r="91" customFormat="false" ht="15" hidden="false" customHeight="false" outlineLevel="0" collapsed="false">
      <c r="B91" s="0" t="s">
        <v>273</v>
      </c>
      <c r="C91" s="29" t="n">
        <v>90</v>
      </c>
      <c r="D91" s="28" t="n">
        <v>2</v>
      </c>
      <c r="E91" s="28" t="n">
        <v>2</v>
      </c>
      <c r="F91" s="30" t="s">
        <v>270</v>
      </c>
    </row>
    <row r="92" customFormat="false" ht="15" hidden="false" customHeight="false" outlineLevel="0" collapsed="false">
      <c r="B92" s="0" t="s">
        <v>274</v>
      </c>
      <c r="C92" s="29" t="n">
        <v>207.28</v>
      </c>
      <c r="D92" s="28" t="n">
        <v>2</v>
      </c>
      <c r="E92" s="28" t="n">
        <v>2</v>
      </c>
      <c r="F92" s="30" t="s">
        <v>270</v>
      </c>
    </row>
    <row r="93" customFormat="false" ht="15" hidden="false" customHeight="false" outlineLevel="0" collapsed="false">
      <c r="B93" s="0" t="s">
        <v>275</v>
      </c>
      <c r="C93" s="29" t="n">
        <v>40.14</v>
      </c>
      <c r="D93" s="28" t="n">
        <v>2</v>
      </c>
      <c r="E93" s="28" t="n">
        <v>2</v>
      </c>
      <c r="F93" s="30" t="s">
        <v>270</v>
      </c>
    </row>
    <row r="94" customFormat="false" ht="15" hidden="false" customHeight="false" outlineLevel="0" collapsed="false">
      <c r="B94" s="0" t="s">
        <v>276</v>
      </c>
      <c r="C94" s="29" t="n">
        <v>3.3</v>
      </c>
      <c r="D94" s="28" t="n">
        <v>2</v>
      </c>
      <c r="E94" s="28" t="n">
        <v>2</v>
      </c>
      <c r="F94" s="30" t="s">
        <v>270</v>
      </c>
    </row>
    <row r="95" customFormat="false" ht="15" hidden="false" customHeight="false" outlineLevel="0" collapsed="false">
      <c r="B95" s="0" t="s">
        <v>277</v>
      </c>
      <c r="C95" s="29" t="n">
        <v>10.8</v>
      </c>
      <c r="D95" s="28" t="n">
        <v>2</v>
      </c>
      <c r="E95" s="28" t="n">
        <v>2</v>
      </c>
      <c r="F95" s="30" t="s">
        <v>270</v>
      </c>
    </row>
    <row r="96" customFormat="false" ht="15" hidden="false" customHeight="false" outlineLevel="0" collapsed="false">
      <c r="B96" s="0" t="s">
        <v>278</v>
      </c>
      <c r="C96" s="29" t="n">
        <v>10.95</v>
      </c>
      <c r="D96" s="28" t="n">
        <v>2</v>
      </c>
      <c r="E96" s="28" t="n">
        <v>2</v>
      </c>
      <c r="F96" s="30" t="s">
        <v>270</v>
      </c>
    </row>
    <row r="97" customFormat="false" ht="15" hidden="false" customHeight="false" outlineLevel="0" collapsed="false">
      <c r="B97" s="0" t="s">
        <v>279</v>
      </c>
      <c r="C97" s="29" t="n">
        <v>3.81</v>
      </c>
      <c r="D97" s="28" t="n">
        <v>2</v>
      </c>
      <c r="E97" s="28" t="n">
        <v>2</v>
      </c>
      <c r="F97" s="30" t="s">
        <v>270</v>
      </c>
    </row>
    <row r="98" customFormat="false" ht="15" hidden="false" customHeight="false" outlineLevel="0" collapsed="false">
      <c r="B98" s="0" t="s">
        <v>280</v>
      </c>
      <c r="C98" s="29" t="n">
        <v>2.84</v>
      </c>
      <c r="D98" s="28" t="n">
        <v>4</v>
      </c>
      <c r="E98" s="28" t="n">
        <v>4</v>
      </c>
      <c r="F98" s="30" t="s">
        <v>270</v>
      </c>
    </row>
    <row r="99" customFormat="false" ht="15" hidden="false" customHeight="false" outlineLevel="0" collapsed="false">
      <c r="B99" s="0" t="s">
        <v>281</v>
      </c>
      <c r="C99" s="29" t="n">
        <v>4.4</v>
      </c>
      <c r="D99" s="28" t="n">
        <v>4</v>
      </c>
      <c r="E99" s="28" t="n">
        <v>4</v>
      </c>
      <c r="F99" s="30" t="s">
        <v>270</v>
      </c>
    </row>
    <row r="100" customFormat="false" ht="15" hidden="false" customHeight="false" outlineLevel="0" collapsed="false">
      <c r="B100" s="0" t="s">
        <v>282</v>
      </c>
      <c r="C100" s="29" t="n">
        <f aca="false">2*25.71+2*22.85</f>
        <v>97.12</v>
      </c>
      <c r="D100" s="28" t="n">
        <v>1</v>
      </c>
      <c r="E100" s="28" t="n">
        <v>1</v>
      </c>
      <c r="F100" s="30" t="s">
        <v>270</v>
      </c>
    </row>
    <row r="101" customFormat="false" ht="15" hidden="false" customHeight="false" outlineLevel="0" collapsed="false">
      <c r="B101" s="0" t="s">
        <v>283</v>
      </c>
      <c r="C101" s="29" t="n">
        <v>345</v>
      </c>
      <c r="D101" s="28" t="n">
        <v>1</v>
      </c>
      <c r="E101" s="28" t="n">
        <v>0</v>
      </c>
      <c r="F101" s="30" t="s">
        <v>270</v>
      </c>
    </row>
    <row r="102" customFormat="false" ht="15" hidden="false" customHeight="false" outlineLevel="0" collapsed="false">
      <c r="B102" s="0" t="s">
        <v>284</v>
      </c>
      <c r="C102" s="29" t="n">
        <v>546</v>
      </c>
      <c r="D102" s="28" t="n">
        <v>0</v>
      </c>
      <c r="E102" s="28" t="n">
        <v>1</v>
      </c>
      <c r="F102" s="30" t="s">
        <v>270</v>
      </c>
    </row>
    <row r="103" customFormat="false" ht="15" hidden="false" customHeight="false" outlineLevel="0" collapsed="false">
      <c r="B103" s="0" t="s">
        <v>285</v>
      </c>
      <c r="C103" s="29" t="n">
        <v>2.98</v>
      </c>
      <c r="D103" s="28" t="n">
        <v>110</v>
      </c>
      <c r="E103" s="28" t="n">
        <v>208</v>
      </c>
      <c r="F103" s="30" t="s">
        <v>270</v>
      </c>
    </row>
    <row r="104" customFormat="false" ht="15" hidden="false" customHeight="false" outlineLevel="0" collapsed="false">
      <c r="B104" s="0" t="s">
        <v>286</v>
      </c>
      <c r="C104" s="29" t="n">
        <f aca="false">3.09+4.99</f>
        <v>8.08</v>
      </c>
      <c r="D104" s="28" t="n">
        <v>20</v>
      </c>
      <c r="E104" s="28" t="n">
        <v>20</v>
      </c>
      <c r="F104" s="30" t="s">
        <v>270</v>
      </c>
    </row>
    <row r="105" customFormat="false" ht="15" hidden="false" customHeight="false" outlineLevel="0" collapsed="false">
      <c r="B105" s="0" t="s">
        <v>287</v>
      </c>
      <c r="C105" s="29" t="n">
        <v>5.4</v>
      </c>
      <c r="D105" s="28" t="n">
        <v>1</v>
      </c>
      <c r="E105" s="28" t="n">
        <v>1</v>
      </c>
      <c r="F105" s="30" t="s">
        <v>270</v>
      </c>
    </row>
    <row r="106" customFormat="false" ht="15" hidden="false" customHeight="false" outlineLevel="0" collapsed="false">
      <c r="B106" s="0" t="s">
        <v>288</v>
      </c>
      <c r="C106" s="29" t="n">
        <v>300</v>
      </c>
      <c r="D106" s="28" t="n">
        <v>1</v>
      </c>
      <c r="E106" s="28" t="n">
        <v>1</v>
      </c>
      <c r="F106" s="30" t="s">
        <v>270</v>
      </c>
    </row>
    <row r="107" customFormat="false" ht="15" hidden="false" customHeight="false" outlineLevel="0" collapsed="false">
      <c r="B107" s="0" t="s">
        <v>289</v>
      </c>
      <c r="C107" s="29" t="n">
        <v>40</v>
      </c>
      <c r="D107" s="28" t="n">
        <v>1</v>
      </c>
      <c r="E107" s="28" t="n">
        <v>1</v>
      </c>
      <c r="F107" s="30" t="s">
        <v>270</v>
      </c>
    </row>
    <row r="108" customFormat="false" ht="15" hidden="false" customHeight="false" outlineLevel="0" collapsed="false">
      <c r="B108" s="0" t="s">
        <v>290</v>
      </c>
      <c r="C108" s="29" t="n">
        <v>172</v>
      </c>
      <c r="D108" s="28" t="n">
        <v>1</v>
      </c>
      <c r="E108" s="28" t="n">
        <v>0</v>
      </c>
      <c r="F108" s="30" t="s">
        <v>160</v>
      </c>
    </row>
    <row r="109" customFormat="false" ht="15" hidden="false" customHeight="false" outlineLevel="0" collapsed="false">
      <c r="B109" s="0" t="s">
        <v>291</v>
      </c>
      <c r="C109" s="29" t="n">
        <v>207</v>
      </c>
      <c r="D109" s="28" t="n">
        <v>0</v>
      </c>
      <c r="E109" s="28" t="n">
        <v>1</v>
      </c>
      <c r="F109" s="30" t="s">
        <v>160</v>
      </c>
    </row>
    <row r="110" customFormat="false" ht="15" hidden="false" customHeight="false" outlineLevel="0" collapsed="false">
      <c r="B110" s="0" t="s">
        <v>292</v>
      </c>
      <c r="C110" s="29" t="n">
        <f aca="false">120+55+65</f>
        <v>240</v>
      </c>
      <c r="D110" s="28" t="n">
        <v>1</v>
      </c>
      <c r="E110" s="28" t="n">
        <v>1</v>
      </c>
      <c r="F110" s="30" t="s">
        <v>160</v>
      </c>
    </row>
    <row r="111" customFormat="false" ht="15" hidden="false" customHeight="false" outlineLevel="0" collapsed="false">
      <c r="B111" s="0" t="s">
        <v>293</v>
      </c>
      <c r="C111" s="29" t="n">
        <f aca="false">50+40</f>
        <v>90</v>
      </c>
      <c r="D111" s="28" t="n">
        <v>1</v>
      </c>
      <c r="E111" s="28" t="n">
        <v>1</v>
      </c>
      <c r="F111" s="30" t="s">
        <v>294</v>
      </c>
    </row>
    <row r="112" customFormat="false" ht="15" hidden="false" customHeight="false" outlineLevel="0" collapsed="false">
      <c r="B112" s="0" t="s">
        <v>295</v>
      </c>
      <c r="C112" s="29" t="n">
        <f aca="false">14+9+25+5+9+30</f>
        <v>92</v>
      </c>
      <c r="D112" s="28" t="n">
        <v>1</v>
      </c>
      <c r="E112" s="28" t="n">
        <v>0</v>
      </c>
      <c r="F112" s="30" t="s">
        <v>294</v>
      </c>
    </row>
    <row r="113" customFormat="false" ht="15" hidden="false" customHeight="false" outlineLevel="0" collapsed="false">
      <c r="B113" s="0" t="s">
        <v>296</v>
      </c>
      <c r="C113" s="29" t="n">
        <f aca="false">14+18+25+7+18+30</f>
        <v>112</v>
      </c>
      <c r="D113" s="28" t="n">
        <v>0</v>
      </c>
      <c r="E113" s="28" t="n">
        <v>1</v>
      </c>
      <c r="F113" s="30" t="s">
        <v>294</v>
      </c>
    </row>
    <row r="114" customFormat="false" ht="15" hidden="false" customHeight="false" outlineLevel="0" collapsed="false">
      <c r="B114" s="0" t="s">
        <v>297</v>
      </c>
      <c r="C114" s="29" t="n">
        <f aca="false">70+14+34+32+20</f>
        <v>170</v>
      </c>
      <c r="D114" s="28" t="n">
        <v>1</v>
      </c>
      <c r="E114" s="28" t="n">
        <v>1</v>
      </c>
      <c r="F114" s="30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299</v>
      </c>
      <c r="C4" s="5"/>
    </row>
    <row r="5" customFormat="false" ht="15" hidden="false" customHeight="false" outlineLevel="0" collapsed="false">
      <c r="B5" s="0" t="s">
        <v>300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301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302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303</v>
      </c>
      <c r="C8" s="32" t="n">
        <f aca="false">in_D+in_NP</f>
        <v>15</v>
      </c>
    </row>
    <row r="9" customFormat="false" ht="15" hidden="false" customHeight="false" outlineLevel="0" collapsed="false">
      <c r="B9" s="0" t="s">
        <v>304</v>
      </c>
      <c r="C9" s="32" t="n">
        <f aca="false">in_S+in_D+in_NP</f>
        <v>15</v>
      </c>
    </row>
    <row r="10" customFormat="false" ht="15" hidden="false" customHeight="false" outlineLevel="0" collapsed="false">
      <c r="B10" s="0" t="s">
        <v>305</v>
      </c>
      <c r="C10" s="32" t="n">
        <f aca="false">2*in_S+2*in_NP+4*in_D</f>
        <v>60</v>
      </c>
    </row>
    <row r="11" customFormat="false" ht="15" hidden="false" customHeight="false" outlineLevel="0" collapsed="false">
      <c r="B11" s="0" t="s">
        <v>306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307</v>
      </c>
      <c r="C12" s="31" t="n">
        <f aca="false">m_cena_D*in_D+c_szer_520*in_szer1_D+c_szer_540*in_szer2_D+SUMPRODUCT(in_gl_D,t_gl_doplata)+c_dl_500*in_dl500_D+m_cena_D*c_dl_wsp*10*in_dl540_D+m_cena_D*c_dl_wsp*20*in_dl550_D</f>
        <v>498000</v>
      </c>
    </row>
    <row r="13" customFormat="false" ht="15" hidden="false" customHeight="false" outlineLevel="0" collapsed="false">
      <c r="B13" s="0" t="s">
        <v>308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309</v>
      </c>
      <c r="C14" s="32" t="n">
        <f aca="false">SUMPRODUCT((t_gl_silownik=2000)*(in_gl_S+in_gl_D))</f>
        <v>15</v>
      </c>
    </row>
    <row r="15" customFormat="false" ht="15" hidden="false" customHeight="false" outlineLevel="0" collapsed="false">
      <c r="B15" s="0" t="s">
        <v>310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311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160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69567.4</v>
      </c>
    </row>
    <row r="18" customFormat="false" ht="15" hidden="false" customHeight="false" outlineLevel="0" collapsed="false">
      <c r="B18" s="0" t="s">
        <v>312</v>
      </c>
      <c r="C18" s="31" t="n">
        <f aca="false">in_barierki*c_barierka+in_maskownice*c_maskownica</f>
        <v>21500</v>
      </c>
    </row>
    <row r="19" customFormat="false" ht="15" hidden="false" customHeight="false" outlineLevel="0" collapsed="false">
      <c r="B19" s="0" t="s">
        <v>294</v>
      </c>
      <c r="C19" s="31" t="n">
        <f aca="false">in_agregaty*c_skrzynka_zasil+SUMPRODUCT((t_sk_grupa="Elektryka")*t_sk_cena*(t_sk_S*in_S+t_sk_D*m_DN))</f>
        <v>8580</v>
      </c>
    </row>
    <row r="20" customFormat="false" ht="15" hidden="false" customHeight="false" outlineLevel="0" collapsed="false">
      <c r="B20" s="0" t="s">
        <v>313</v>
      </c>
      <c r="C20" s="31" t="n">
        <f aca="false">in_agregaty*c_admin+SUMPRODUCT((t_sk_grupa="Mechanika")*t_sk_cena*(t_sk_S*in_S+t_sk_D*m_DN))</f>
        <v>51412.2</v>
      </c>
    </row>
    <row r="21" customFormat="false" ht="15" hidden="false" customHeight="false" outlineLevel="0" collapsed="false">
      <c r="B21" s="11" t="s">
        <v>314</v>
      </c>
      <c r="C21" s="33" t="n">
        <f aca="false">m_plat_S+m_plat_D+m_plat_NP+m_hydraulika+m_barierki+m_elektryka+m_mechanika</f>
        <v>649059.6</v>
      </c>
    </row>
    <row r="22" customFormat="false" ht="15" hidden="false" customHeight="false" outlineLevel="0" collapsed="false">
      <c r="B22" s="11" t="s">
        <v>315</v>
      </c>
      <c r="C22" s="33" t="n">
        <f aca="false">m_suma_2000*(1+in_q2500)</f>
        <v>688003.176</v>
      </c>
    </row>
    <row r="23" customFormat="false" ht="15" hidden="false" customHeight="false" outlineLevel="0" collapsed="false">
      <c r="B23" s="0" t="s">
        <v>316</v>
      </c>
      <c r="C23" s="31" t="n">
        <f aca="false">c_mal_S*in_S+c_mal_D*m_DN+c_mal_bar*in_barierki</f>
        <v>208500</v>
      </c>
    </row>
    <row r="24" customFormat="false" ht="15" hidden="false" customHeight="false" outlineLevel="0" collapsed="false">
      <c r="B24" s="0" t="s">
        <v>317</v>
      </c>
      <c r="C24" s="34" t="n">
        <f aca="false">ROUNDUP(in_magistrala*c_osd_magistrala+(in_barierki+in_maskownice)*c_osd_barierka,0)</f>
        <v>20</v>
      </c>
    </row>
    <row r="25" customFormat="false" ht="15" hidden="false" customHeight="false" outlineLevel="0" collapsed="false">
      <c r="B25" s="0" t="s">
        <v>318</v>
      </c>
      <c r="C25" s="34" t="n">
        <f aca="false">m_utr_auto+in_utr_dod</f>
        <v>20</v>
      </c>
    </row>
    <row r="27" customFormat="false" ht="15" hidden="false" customHeight="false" outlineLevel="0" collapsed="false">
      <c r="B27" s="4" t="s">
        <v>319</v>
      </c>
      <c r="C27" s="5"/>
    </row>
    <row r="28" customFormat="false" ht="15" hidden="false" customHeight="false" outlineLevel="0" collapsed="false">
      <c r="B28" s="0" t="s">
        <v>320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321</v>
      </c>
      <c r="C29" s="34" t="n">
        <f aca="false">IF(ISBLANK(in_km_pom),IF(e_krk,c_km_krakow,in_km),in_km_pom)</f>
        <v>280</v>
      </c>
    </row>
    <row r="30" customFormat="false" ht="15" hidden="false" customHeight="false" outlineLevel="0" collapsed="false">
      <c r="B30" s="0" t="s">
        <v>322</v>
      </c>
      <c r="C30" s="34" t="n">
        <f aca="false">IF(ISBLANK(in_km_mon),IF(e_krk,c_km_krakow,in_km+c_km_dodatek),in_km_mon)</f>
        <v>330</v>
      </c>
    </row>
    <row r="31" customFormat="false" ht="15" hidden="false" customHeight="false" outlineLevel="0" collapsed="false">
      <c r="B31" s="0" t="s">
        <v>323</v>
      </c>
      <c r="C31" s="34" t="n">
        <f aca="false">IF(ISBLANK(in_rozl_dni),c_rozl_TIR*in_tir,in_rozl_dni)</f>
        <v>1.5</v>
      </c>
    </row>
    <row r="32" customFormat="false" ht="15" hidden="false" customHeight="false" outlineLevel="0" collapsed="false">
      <c r="B32" s="0" t="s">
        <v>324</v>
      </c>
      <c r="C32" s="34" t="n">
        <f aca="false">(c_pomiary_osoby+c_odbiory_osoby)*IF(in_wzor="Uproszczony",2*e_km_pom/c_km_dzien*1,(1+0.1*MAX(0,800-e_km_pom)/100)*e_km_pom*1/500)</f>
        <v>2.5536</v>
      </c>
    </row>
    <row r="33" customFormat="false" ht="15" hidden="false" customHeight="false" outlineLevel="0" collapsed="false">
      <c r="B33" s="0" t="s">
        <v>325</v>
      </c>
      <c r="C33" s="32" t="n">
        <f aca="false">ROUNDUP(m_DN/c_dzwig_D+in_S*c_dzwig_wspS/c_dzwig_D,0)</f>
        <v>3</v>
      </c>
    </row>
    <row r="34" customFormat="false" ht="15" hidden="false" customHeight="false" outlineLevel="0" collapsed="false">
      <c r="B34" s="0" t="s">
        <v>326</v>
      </c>
      <c r="C34" s="36" t="n">
        <f aca="false">(1+c_podatek*(c_gdw+in_zysk))/(1-(c_kob+c_gdw+in_zysk))</f>
        <v>1.20828402366864</v>
      </c>
    </row>
    <row r="36" customFormat="false" ht="15" hidden="false" customHeight="false" outlineLevel="0" collapsed="false">
      <c r="B36" s="4" t="s">
        <v>327</v>
      </c>
      <c r="C36" s="5"/>
      <c r="D36" s="5"/>
      <c r="E36" s="5"/>
      <c r="F36" s="5"/>
      <c r="G36" s="5"/>
      <c r="H36" s="5"/>
      <c r="I36" s="4" t="s">
        <v>328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329</v>
      </c>
      <c r="D37" s="37" t="s">
        <v>73</v>
      </c>
      <c r="E37" s="37" t="s">
        <v>77</v>
      </c>
      <c r="F37" s="37" t="s">
        <v>78</v>
      </c>
      <c r="G37" s="37" t="s">
        <v>79</v>
      </c>
      <c r="I37" s="37" t="s">
        <v>102</v>
      </c>
      <c r="J37" s="37" t="s">
        <v>103</v>
      </c>
      <c r="K37" s="37" t="s">
        <v>104</v>
      </c>
      <c r="L37" s="37" t="s">
        <v>105</v>
      </c>
      <c r="M37" s="37" t="s">
        <v>106</v>
      </c>
      <c r="N37" s="37" t="s">
        <v>107</v>
      </c>
    </row>
    <row r="38" customFormat="false" ht="15" hidden="false" customHeight="false" outlineLevel="0" collapsed="false">
      <c r="B38" s="0" t="s">
        <v>330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331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101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332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333</v>
      </c>
      <c r="D42" s="34" t="n">
        <f aca="false">c_osd_S*in_S+c_osd_D*in_D+c_osd_NP*in_NP+m_utr+D39*c_slupek_rbd*m_MP</f>
        <v>125</v>
      </c>
      <c r="E42" s="34" t="n">
        <f aca="false">c_osd_S*in_S+c_osd_D*in_D+c_osd_NP*in_NP+m_utr+E39*c_slupek_rbd*m_MP</f>
        <v>125</v>
      </c>
      <c r="F42" s="34" t="n">
        <f aca="false">c_osd_S*in_S+c_osd_D*in_D+c_osd_NP*in_NP+m_utr+F39*c_slupek_rbd*m_MP</f>
        <v>147.2</v>
      </c>
      <c r="G42" s="34" t="n">
        <f aca="false">c_osd_S*in_S+c_osd_D*in_D+c_osd_NP*in_NP+m_utr+G39*c_slupek_rbd*m_MP</f>
        <v>147.2</v>
      </c>
      <c r="I42" s="34" t="n">
        <f aca="false">c_osd_S*in_S+c_osd_D*in_D+c_osd_NP*in_NP+m_utr+I39*c_slupek_rbd*m_MP</f>
        <v>125</v>
      </c>
      <c r="J42" s="34" t="n">
        <f aca="false">c_osd_S*in_S+c_osd_D*in_D+c_osd_NP*in_NP+m_utr+J39*c_slupek_rbd*m_MP</f>
        <v>125</v>
      </c>
      <c r="K42" s="34" t="n">
        <f aca="false">c_osd_S*in_S+c_osd_D*in_D+c_osd_NP*in_NP+m_utr+K39*c_slupek_rbd*m_MP</f>
        <v>125</v>
      </c>
      <c r="L42" s="34" t="n">
        <f aca="false">c_osd_S*in_S+c_osd_D*in_D+c_osd_NP*in_NP+m_utr+L39*c_slupek_rbd*m_MP</f>
        <v>125</v>
      </c>
      <c r="M42" s="34" t="n">
        <f aca="false">c_osd_S*in_S+c_osd_D*in_D+c_osd_NP*in_NP+m_utr+M39*c_slupek_rbd*m_MP</f>
        <v>125</v>
      </c>
      <c r="N42" s="34" t="n">
        <f aca="false">c_osd_S*in_S+c_osd_D*in_D+c_osd_NP*in_NP+m_utr+N39*c_slupek_rbd*m_MP</f>
        <v>125</v>
      </c>
    </row>
    <row r="43" customFormat="false" ht="15" hidden="false" customHeight="false" outlineLevel="0" collapsed="false">
      <c r="B43" s="0" t="s">
        <v>334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7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7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8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8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14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9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5</v>
      </c>
    </row>
    <row r="44" customFormat="false" ht="15" hidden="false" customHeight="false" outlineLevel="0" collapsed="false">
      <c r="B44" s="0" t="s">
        <v>335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9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9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10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10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9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7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6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</v>
      </c>
    </row>
    <row r="45" customFormat="false" ht="15" hidden="false" customHeight="false" outlineLevel="0" collapsed="false">
      <c r="B45" s="0" t="s">
        <v>336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10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10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17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9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7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6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</v>
      </c>
    </row>
    <row r="46" customFormat="false" ht="15" hidden="false" customHeight="false" outlineLevel="0" collapsed="false">
      <c r="B46" s="0" t="s">
        <v>337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10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10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17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9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7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6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</v>
      </c>
    </row>
    <row r="47" customFormat="false" ht="15" hidden="false" customHeight="false" outlineLevel="0" collapsed="false">
      <c r="B47" s="0" t="s">
        <v>338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10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10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17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9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7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6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</v>
      </c>
    </row>
    <row r="48" customFormat="false" ht="15" hidden="false" customHeight="false" outlineLevel="0" collapsed="false">
      <c r="B48" s="11" t="s">
        <v>339</v>
      </c>
      <c r="D48" s="38" t="n">
        <f aca="false">IF(ISBLANK(in_wyjazdy),D47,in_wyjazdy)</f>
        <v>9</v>
      </c>
      <c r="E48" s="38" t="n">
        <f aca="false">IF(ISBLANK(in_wyjazdy),E47,in_wyjazdy)</f>
        <v>9</v>
      </c>
      <c r="F48" s="38" t="n">
        <f aca="false">IF(ISBLANK(in_wyjazdy),F47,in_wyjazdy)</f>
        <v>10</v>
      </c>
      <c r="G48" s="38" t="n">
        <f aca="false">IF(ISBLANK(in_wyjazdy),G47,in_wyjazdy)</f>
        <v>10</v>
      </c>
      <c r="I48" s="38" t="n">
        <f aca="false">IF(ISBLANK(in_wyjazdy),I47,in_wyjazdy)</f>
        <v>17</v>
      </c>
      <c r="J48" s="38" t="n">
        <f aca="false">IF(ISBLANK(in_wyjazdy),J47,in_wyjazdy)</f>
        <v>11</v>
      </c>
      <c r="K48" s="38" t="n">
        <f aca="false">IF(ISBLANK(in_wyjazdy),K47,in_wyjazdy)</f>
        <v>9</v>
      </c>
      <c r="L48" s="38" t="n">
        <f aca="false">IF(ISBLANK(in_wyjazdy),L47,in_wyjazdy)</f>
        <v>7</v>
      </c>
      <c r="M48" s="38" t="n">
        <f aca="false">IF(ISBLANK(in_wyjazdy),M47,in_wyjazdy)</f>
        <v>6</v>
      </c>
      <c r="N48" s="38" t="n">
        <f aca="false">IF(ISBLANK(in_wyjazdy),N47,in_wyjazdy)</f>
        <v>5</v>
      </c>
    </row>
    <row r="49" customFormat="false" ht="15" hidden="false" customHeight="false" outlineLevel="0" collapsed="false">
      <c r="B49" s="0" t="s">
        <v>340</v>
      </c>
      <c r="D49" s="34" t="n">
        <f aca="false">(e_podr_pom+D40*(e_rozl_dni+IF(in_wzor="Uproszczony",2*e_km_mon/c_km_dzien*D48,(1+0.1*MAX(0,800-e_km_mon)/100)*e_km_mon*D48/500)))</f>
        <v>43.4808</v>
      </c>
      <c r="E49" s="34" t="n">
        <f aca="false">(e_podr_pom+E40*(e_rozl_dni+IF(in_wzor="Uproszczony",2*e_km_mon/c_km_dzien*E48,(1+0.1*MAX(0,800-e_km_mon)/100)*e_km_mon*E48/500)))</f>
        <v>43.4808</v>
      </c>
      <c r="F49" s="34" t="n">
        <f aca="false">(e_podr_pom+F40*(e_rozl_dni+IF(in_wzor="Uproszczony",2*e_km_mon/c_km_dzien*F48,(1+0.1*MAX(0,800-e_km_mon)/100)*e_km_mon*F48/500)))</f>
        <v>47.3616</v>
      </c>
      <c r="G49" s="34" t="n">
        <f aca="false">(e_podr_pom+G40*(e_rozl_dni+IF(in_wzor="Uproszczony",2*e_km_mon/c_km_dzien*G48,(1+0.1*MAX(0,800-e_km_mon)/100)*e_km_mon*G48/500)))</f>
        <v>47.3616</v>
      </c>
      <c r="I49" s="34" t="n">
        <f aca="false">(e_podr_pom+I40*(e_rozl_dni+IF(in_wzor="Uproszczony",2*e_km_mon/c_km_dzien*I48,(1+0.1*MAX(0,800-e_km_mon)/100)*e_km_mon*I48/500)))</f>
        <v>38.5404</v>
      </c>
      <c r="J49" s="34" t="n">
        <f aca="false">(e_podr_pom+J40*(e_rozl_dni+IF(in_wzor="Uproszczony",2*e_km_mon/c_km_dzien*J48,(1+0.1*MAX(0,800-e_km_mon)/100)*e_km_mon*J48/500)))</f>
        <v>39.0702</v>
      </c>
      <c r="K49" s="34" t="n">
        <f aca="false">(e_podr_pom+K40*(e_rozl_dni+IF(in_wzor="Uproszczony",2*e_km_mon/c_km_dzien*K48,(1+0.1*MAX(0,800-e_km_mon)/100)*e_km_mon*K48/500)))</f>
        <v>43.4808</v>
      </c>
      <c r="L49" s="34" t="n">
        <f aca="false">(e_podr_pom+L40*(e_rozl_dni+IF(in_wzor="Uproszczony",2*e_km_mon/c_km_dzien*L48,(1+0.1*MAX(0,800-e_km_mon)/100)*e_km_mon*L48/500)))</f>
        <v>44.0106</v>
      </c>
      <c r="M49" s="34" t="n">
        <f aca="false">(e_podr_pom+M40*(e_rozl_dni+IF(in_wzor="Uproszczony",2*e_km_mon/c_km_dzien*M48,(1+0.1*MAX(0,800-e_km_mon)/100)*e_km_mon*M48/500)))</f>
        <v>46.4808</v>
      </c>
      <c r="N49" s="34" t="n">
        <f aca="false">(e_podr_pom+N40*(e_rozl_dni+IF(in_wzor="Uproszczony",2*e_km_mon/c_km_dzien*N48,(1+0.1*MAX(0,800-e_km_mon)/100)*e_km_mon*N48/500)))</f>
        <v>47.0106</v>
      </c>
    </row>
    <row r="50" customFormat="false" ht="15" hidden="false" customHeight="false" outlineLevel="0" collapsed="false">
      <c r="B50" s="0" t="s">
        <v>94</v>
      </c>
      <c r="D50" s="34" t="n">
        <f aca="false">D42+D49</f>
        <v>168.4808</v>
      </c>
      <c r="E50" s="34" t="n">
        <f aca="false">E42+E49</f>
        <v>168.4808</v>
      </c>
      <c r="F50" s="34" t="n">
        <f aca="false">F42+F49</f>
        <v>194.5616</v>
      </c>
      <c r="G50" s="34" t="n">
        <f aca="false">G42+G49</f>
        <v>194.5616</v>
      </c>
      <c r="I50" s="34" t="n">
        <f aca="false">I42+I49</f>
        <v>163.5404</v>
      </c>
      <c r="J50" s="34" t="n">
        <f aca="false">J42+J49</f>
        <v>164.0702</v>
      </c>
      <c r="K50" s="34" t="n">
        <f aca="false">K42+K49</f>
        <v>168.4808</v>
      </c>
      <c r="L50" s="34" t="n">
        <f aca="false">L42+L49</f>
        <v>169.0106</v>
      </c>
      <c r="M50" s="34" t="n">
        <f aca="false">M42+M49</f>
        <v>171.4808</v>
      </c>
      <c r="N50" s="34" t="n">
        <f aca="false">N42+N49</f>
        <v>172.0106</v>
      </c>
    </row>
    <row r="51" customFormat="false" ht="15" hidden="false" customHeight="false" outlineLevel="0" collapsed="false">
      <c r="B51" s="11" t="s">
        <v>341</v>
      </c>
      <c r="D51" s="38" t="n">
        <f aca="false">CEILING(D50/D40,1)</f>
        <v>43</v>
      </c>
      <c r="E51" s="38" t="n">
        <f aca="false">CEILING(E50/E40,1)</f>
        <v>43</v>
      </c>
      <c r="F51" s="38" t="n">
        <f aca="false">CEILING(F50/F40,1)</f>
        <v>49</v>
      </c>
      <c r="G51" s="38" t="n">
        <f aca="false">CEILING(G50/G40,1)</f>
        <v>49</v>
      </c>
      <c r="I51" s="38" t="n">
        <f aca="false">CEILING(I50/I40,1)</f>
        <v>82</v>
      </c>
      <c r="J51" s="38" t="n">
        <f aca="false">CEILING(J50/J40,1)</f>
        <v>55</v>
      </c>
      <c r="K51" s="38" t="n">
        <f aca="false">CEILING(K50/K40,1)</f>
        <v>43</v>
      </c>
      <c r="L51" s="38" t="n">
        <f aca="false">CEILING(L50/L40,1)</f>
        <v>34</v>
      </c>
      <c r="M51" s="38" t="n">
        <f aca="false">CEILING(M50/M40,1)</f>
        <v>29</v>
      </c>
      <c r="N51" s="38" t="n">
        <f aca="false">CEILING(N50/N40,1)</f>
        <v>25</v>
      </c>
    </row>
    <row r="52" customFormat="false" ht="15" hidden="false" customHeight="false" outlineLevel="0" collapsed="false">
      <c r="B52" s="0" t="s">
        <v>342</v>
      </c>
      <c r="D52" s="34" t="n">
        <f aca="false">2*(e_km_mon*D48+2*e_km_pom)</f>
        <v>7060</v>
      </c>
      <c r="E52" s="34" t="n">
        <f aca="false">2*(e_km_mon*E48+2*e_km_pom)</f>
        <v>7060</v>
      </c>
      <c r="F52" s="34" t="n">
        <f aca="false">2*(e_km_mon*F48+2*e_km_pom)</f>
        <v>7720</v>
      </c>
      <c r="G52" s="34" t="n">
        <f aca="false">2*(e_km_mon*G48+2*e_km_pom)</f>
        <v>7720</v>
      </c>
      <c r="I52" s="34" t="n">
        <f aca="false">2*(e_km_mon*I48+2*e_km_pom)</f>
        <v>12340</v>
      </c>
      <c r="J52" s="34" t="n">
        <f aca="false">2*(e_km_mon*J48+2*e_km_pom)</f>
        <v>8380</v>
      </c>
      <c r="K52" s="34" t="n">
        <f aca="false">2*(e_km_mon*K48+2*e_km_pom)</f>
        <v>7060</v>
      </c>
      <c r="L52" s="34" t="n">
        <f aca="false">2*(e_km_mon*L48+2*e_km_pom)</f>
        <v>5740</v>
      </c>
      <c r="M52" s="34" t="n">
        <f aca="false">2*(e_km_mon*M48+2*e_km_pom)</f>
        <v>5080</v>
      </c>
      <c r="N52" s="34" t="n">
        <f aca="false">2*(e_km_mon*N48+2*e_km_pom)</f>
        <v>4420</v>
      </c>
    </row>
    <row r="53" customFormat="false" ht="15" hidden="false" customHeight="false" outlineLevel="0" collapsed="false">
      <c r="B53" s="0" t="s">
        <v>86</v>
      </c>
      <c r="D53" s="31" t="n">
        <f aca="false">IF(D38=1,m_suma_2500,m_suma_2000)</f>
        <v>649059.6</v>
      </c>
      <c r="E53" s="31" t="n">
        <f aca="false">IF(E38=1,m_suma_2500,m_suma_2000)</f>
        <v>688003.176</v>
      </c>
      <c r="F53" s="31" t="n">
        <f aca="false">IF(F38=1,m_suma_2500,m_suma_2000)</f>
        <v>649059.6</v>
      </c>
      <c r="G53" s="31" t="n">
        <f aca="false">IF(G38=1,m_suma_2500,m_suma_2000)</f>
        <v>688003.176</v>
      </c>
      <c r="I53" s="31" t="n">
        <f aca="false">IF(I38=1,m_suma_2500,m_suma_2000)</f>
        <v>649059.6</v>
      </c>
      <c r="J53" s="31" t="n">
        <f aca="false">IF(J38=1,m_suma_2500,m_suma_2000)</f>
        <v>649059.6</v>
      </c>
      <c r="K53" s="31" t="n">
        <f aca="false">IF(K38=1,m_suma_2500,m_suma_2000)</f>
        <v>649059.6</v>
      </c>
      <c r="L53" s="31" t="n">
        <f aca="false">IF(L38=1,m_suma_2500,m_suma_2000)</f>
        <v>649059.6</v>
      </c>
      <c r="M53" s="31" t="n">
        <f aca="false">IF(M38=1,m_suma_2500,m_suma_2000)</f>
        <v>649059.6</v>
      </c>
      <c r="N53" s="31" t="n">
        <f aca="false">IF(N38=1,m_suma_2500,m_suma_2000)</f>
        <v>649059.6</v>
      </c>
    </row>
    <row r="54" customFormat="false" ht="15" hidden="false" customHeight="false" outlineLevel="0" collapsed="false">
      <c r="B54" s="0" t="s">
        <v>87</v>
      </c>
      <c r="D54" s="31" t="n">
        <f aca="false">D39*c_slupek*m_MP</f>
        <v>0</v>
      </c>
      <c r="E54" s="31" t="n">
        <f aca="false">E39*c_slupek*m_MP</f>
        <v>0</v>
      </c>
      <c r="F54" s="31" t="n">
        <f aca="false">F39*c_slupek*m_MP</f>
        <v>102000</v>
      </c>
      <c r="G54" s="31" t="n">
        <f aca="false">G39*c_slupek*m_MP</f>
        <v>102000</v>
      </c>
      <c r="I54" s="31" t="n">
        <f aca="false">I39*c_slupek*m_MP</f>
        <v>0</v>
      </c>
      <c r="J54" s="31" t="n">
        <f aca="false">J39*c_slupek*m_MP</f>
        <v>0</v>
      </c>
      <c r="K54" s="31" t="n">
        <f aca="false">K39*c_slupek*m_MP</f>
        <v>0</v>
      </c>
      <c r="L54" s="31" t="n">
        <f aca="false">L39*c_slupek*m_MP</f>
        <v>0</v>
      </c>
      <c r="M54" s="31" t="n">
        <f aca="false">M39*c_slupek*m_MP</f>
        <v>0</v>
      </c>
      <c r="N54" s="31" t="n">
        <f aca="false">N39*c_slupek*m_MP</f>
        <v>0</v>
      </c>
    </row>
    <row r="55" customFormat="false" ht="15" hidden="false" customHeight="false" outlineLevel="0" collapsed="false">
      <c r="B55" s="0" t="s">
        <v>343</v>
      </c>
      <c r="D55" s="31" t="n">
        <f aca="false">D52/100*ROUNDUP(c_spalanie*c_paliwo,0)</f>
        <v>7977.8</v>
      </c>
      <c r="E55" s="31" t="n">
        <f aca="false">E52/100*ROUNDUP(c_spalanie*c_paliwo,0)</f>
        <v>7977.8</v>
      </c>
      <c r="F55" s="31" t="n">
        <f aca="false">F52/100*ROUNDUP(c_spalanie*c_paliwo,0)</f>
        <v>8723.6</v>
      </c>
      <c r="G55" s="31" t="n">
        <f aca="false">G52/100*ROUNDUP(c_spalanie*c_paliwo,0)</f>
        <v>8723.6</v>
      </c>
      <c r="I55" s="31" t="n">
        <f aca="false">I52/100*ROUNDUP(c_spalanie*c_paliwo,0)</f>
        <v>13944.2</v>
      </c>
      <c r="J55" s="31" t="n">
        <f aca="false">J52/100*ROUNDUP(c_spalanie*c_paliwo,0)</f>
        <v>9469.4</v>
      </c>
      <c r="K55" s="31" t="n">
        <f aca="false">K52/100*ROUNDUP(c_spalanie*c_paliwo,0)</f>
        <v>7977.8</v>
      </c>
      <c r="L55" s="31" t="n">
        <f aca="false">L52/100*ROUNDUP(c_spalanie*c_paliwo,0)</f>
        <v>6486.2</v>
      </c>
      <c r="M55" s="31" t="n">
        <f aca="false">M52/100*ROUNDUP(c_spalanie*c_paliwo,0)</f>
        <v>5740.4</v>
      </c>
      <c r="N55" s="31" t="n">
        <f aca="false">N52/100*ROUNDUP(c_spalanie*c_paliwo,0)</f>
        <v>4994.6</v>
      </c>
    </row>
    <row r="56" customFormat="false" ht="15" hidden="false" customHeight="false" outlineLevel="0" collapsed="false">
      <c r="B56" s="0" t="s">
        <v>344</v>
      </c>
      <c r="D56" s="31" t="n">
        <f aca="false">IF(e_krk,0,c_hotel*(D51+1)*D40)</f>
        <v>22880</v>
      </c>
      <c r="E56" s="31" t="n">
        <f aca="false">IF(e_krk,0,c_hotel*(E51+1)*E40)</f>
        <v>22880</v>
      </c>
      <c r="F56" s="31" t="n">
        <f aca="false">IF(e_krk,0,c_hotel*(F51+1)*F40)</f>
        <v>26000</v>
      </c>
      <c r="G56" s="31" t="n">
        <f aca="false">IF(e_krk,0,c_hotel*(G51+1)*G40)</f>
        <v>26000</v>
      </c>
      <c r="I56" s="31" t="n">
        <f aca="false">IF(e_krk,0,c_hotel*(I51+1)*I40)</f>
        <v>21580</v>
      </c>
      <c r="J56" s="31" t="n">
        <f aca="false">IF(e_krk,0,c_hotel*(J51+1)*J40)</f>
        <v>21840</v>
      </c>
      <c r="K56" s="31" t="n">
        <f aca="false">IF(e_krk,0,c_hotel*(K51+1)*K40)</f>
        <v>22880</v>
      </c>
      <c r="L56" s="31" t="n">
        <f aca="false">IF(e_krk,0,c_hotel*(L51+1)*L40)</f>
        <v>22750</v>
      </c>
      <c r="M56" s="31" t="n">
        <f aca="false">IF(e_krk,0,c_hotel*(M51+1)*M40)</f>
        <v>23400</v>
      </c>
      <c r="N56" s="31" t="n">
        <f aca="false">IF(e_krk,0,c_hotel*(N51+1)*N40)</f>
        <v>23660</v>
      </c>
    </row>
    <row r="57" customFormat="false" ht="15" hidden="false" customHeight="false" outlineLevel="0" collapsed="false">
      <c r="B57" s="0" t="s">
        <v>345</v>
      </c>
      <c r="D57" s="31" t="n">
        <f aca="false">in_tir_cena*in_tir</f>
        <v>12000</v>
      </c>
      <c r="E57" s="31" t="n">
        <f aca="false">in_tir_cena*in_tir</f>
        <v>12000</v>
      </c>
      <c r="F57" s="31" t="n">
        <f aca="false">in_tir_cena*in_tir</f>
        <v>12000</v>
      </c>
      <c r="G57" s="31" t="n">
        <f aca="false">in_tir_cena*in_tir</f>
        <v>12000</v>
      </c>
      <c r="I57" s="31" t="n">
        <f aca="false">in_tir_cena*in_tir</f>
        <v>12000</v>
      </c>
      <c r="J57" s="31" t="n">
        <f aca="false">in_tir_cena*in_tir</f>
        <v>12000</v>
      </c>
      <c r="K57" s="31" t="n">
        <f aca="false">in_tir_cena*in_tir</f>
        <v>12000</v>
      </c>
      <c r="L57" s="31" t="n">
        <f aca="false">in_tir_cena*in_tir</f>
        <v>12000</v>
      </c>
      <c r="M57" s="31" t="n">
        <f aca="false">in_tir_cena*in_tir</f>
        <v>12000</v>
      </c>
      <c r="N57" s="31" t="n">
        <f aca="false">in_tir_cena*in_tir</f>
        <v>12000</v>
      </c>
    </row>
    <row r="58" customFormat="false" ht="15" hidden="false" customHeight="false" outlineLevel="0" collapsed="false">
      <c r="B58" s="0" t="s">
        <v>346</v>
      </c>
      <c r="D58" s="31" t="n">
        <f aca="false">c_dzwig*e_dzw_dni</f>
        <v>7200</v>
      </c>
      <c r="E58" s="31" t="n">
        <f aca="false">c_dzwig*e_dzw_dni</f>
        <v>7200</v>
      </c>
      <c r="F58" s="31" t="n">
        <f aca="false">c_dzwig*e_dzw_dni</f>
        <v>7200</v>
      </c>
      <c r="G58" s="31" t="n">
        <f aca="false">c_dzwig*e_dzw_dni</f>
        <v>7200</v>
      </c>
      <c r="I58" s="31" t="n">
        <f aca="false">c_dzwig*e_dzw_dni</f>
        <v>7200</v>
      </c>
      <c r="J58" s="31" t="n">
        <f aca="false">c_dzwig*e_dzw_dni</f>
        <v>7200</v>
      </c>
      <c r="K58" s="31" t="n">
        <f aca="false">c_dzwig*e_dzw_dni</f>
        <v>7200</v>
      </c>
      <c r="L58" s="31" t="n">
        <f aca="false">c_dzwig*e_dzw_dni</f>
        <v>7200</v>
      </c>
      <c r="M58" s="31" t="n">
        <f aca="false">c_dzwig*e_dzw_dni</f>
        <v>7200</v>
      </c>
      <c r="N58" s="31" t="n">
        <f aca="false">c_dzwig*e_dzw_dni</f>
        <v>7200</v>
      </c>
    </row>
    <row r="59" customFormat="false" ht="15" hidden="false" customHeight="false" outlineLevel="0" collapsed="false">
      <c r="B59" s="0" t="s">
        <v>347</v>
      </c>
      <c r="D59" s="31" t="n">
        <f aca="false">in_rozl_cena*in_tir</f>
        <v>5100</v>
      </c>
      <c r="E59" s="31" t="n">
        <f aca="false">in_rozl_cena*in_tir</f>
        <v>5100</v>
      </c>
      <c r="F59" s="31" t="n">
        <f aca="false">in_rozl_cena*in_tir</f>
        <v>5100</v>
      </c>
      <c r="G59" s="31" t="n">
        <f aca="false">in_rozl_cena*in_tir</f>
        <v>5100</v>
      </c>
      <c r="I59" s="31" t="n">
        <f aca="false">in_rozl_cena*in_tir</f>
        <v>5100</v>
      </c>
      <c r="J59" s="31" t="n">
        <f aca="false">in_rozl_cena*in_tir</f>
        <v>5100</v>
      </c>
      <c r="K59" s="31" t="n">
        <f aca="false">in_rozl_cena*in_tir</f>
        <v>5100</v>
      </c>
      <c r="L59" s="31" t="n">
        <f aca="false">in_rozl_cena*in_tir</f>
        <v>5100</v>
      </c>
      <c r="M59" s="31" t="n">
        <f aca="false">in_rozl_cena*in_tir</f>
        <v>5100</v>
      </c>
      <c r="N59" s="31" t="n">
        <f aca="false">in_rozl_cena*in_tir</f>
        <v>5100</v>
      </c>
    </row>
    <row r="60" customFormat="false" ht="15" hidden="false" customHeight="false" outlineLevel="0" collapsed="false">
      <c r="B60" s="0" t="s">
        <v>348</v>
      </c>
      <c r="D60" s="31" t="n">
        <f aca="false">D41*e_rozl_dni*D40</f>
        <v>2400</v>
      </c>
      <c r="E60" s="31" t="n">
        <f aca="false">E41*e_rozl_dni*E40</f>
        <v>2400</v>
      </c>
      <c r="F60" s="31" t="n">
        <f aca="false">F41*e_rozl_dni*F40</f>
        <v>2400</v>
      </c>
      <c r="G60" s="31" t="n">
        <f aca="false">G41*e_rozl_dni*G40</f>
        <v>2400</v>
      </c>
      <c r="I60" s="31" t="n">
        <f aca="false">I41*e_rozl_dni*I40</f>
        <v>1350</v>
      </c>
      <c r="J60" s="31" t="n">
        <f aca="false">J41*e_rozl_dni*J40</f>
        <v>1875</v>
      </c>
      <c r="K60" s="31" t="n">
        <f aca="false">K41*e_rozl_dni*K40</f>
        <v>2400</v>
      </c>
      <c r="L60" s="31" t="n">
        <f aca="false">L41*e_rozl_dni*L40</f>
        <v>2925</v>
      </c>
      <c r="M60" s="31" t="n">
        <f aca="false">M41*e_rozl_dni*M40</f>
        <v>3450</v>
      </c>
      <c r="N60" s="31" t="n">
        <f aca="false">N41*e_rozl_dni*N40</f>
        <v>3975</v>
      </c>
    </row>
    <row r="61" customFormat="false" ht="15" hidden="false" customHeight="false" outlineLevel="0" collapsed="false">
      <c r="B61" s="0" t="s">
        <v>349</v>
      </c>
      <c r="D61" s="31" t="n">
        <f aca="false">D41*(D49-D40*e_rozl_dni)</f>
        <v>14992.32</v>
      </c>
      <c r="E61" s="31" t="n">
        <f aca="false">E41*(E49-E40*e_rozl_dni)</f>
        <v>14992.32</v>
      </c>
      <c r="F61" s="31" t="n">
        <f aca="false">F41*(F49-F40*e_rozl_dni)</f>
        <v>16544.64</v>
      </c>
      <c r="G61" s="31" t="n">
        <f aca="false">G41*(G49-G40*e_rozl_dni)</f>
        <v>16544.64</v>
      </c>
      <c r="I61" s="31" t="n">
        <f aca="false">I41*(I49-I40*e_rozl_dni)</f>
        <v>15993.18</v>
      </c>
      <c r="J61" s="31" t="n">
        <f aca="false">J41*(J49-J40*e_rozl_dni)</f>
        <v>14404.25</v>
      </c>
      <c r="K61" s="31" t="n">
        <f aca="false">K41*(K49-K40*e_rozl_dni)</f>
        <v>14992.32</v>
      </c>
      <c r="L61" s="31" t="n">
        <f aca="false">L41*(L49-L40*e_rozl_dni)</f>
        <v>14239.134</v>
      </c>
      <c r="M61" s="31" t="n">
        <f aca="false">M41*(M49-M40*e_rozl_dni)</f>
        <v>14367.64</v>
      </c>
      <c r="N61" s="31" t="n">
        <f aca="false">N41*(N49-N40*e_rozl_dni)</f>
        <v>13821.87</v>
      </c>
    </row>
    <row r="62" customFormat="false" ht="15" hidden="false" customHeight="false" outlineLevel="0" collapsed="false">
      <c r="B62" s="0" t="s">
        <v>350</v>
      </c>
      <c r="D62" s="31" t="n">
        <f aca="false">IF(D48&gt;0,D41*D42,0)</f>
        <v>50000</v>
      </c>
      <c r="E62" s="31" t="n">
        <f aca="false">IF(E48&gt;0,E41*E42,0)</f>
        <v>50000</v>
      </c>
      <c r="F62" s="31" t="n">
        <f aca="false">IF(F48&gt;0,F41*F42,0)</f>
        <v>58880</v>
      </c>
      <c r="G62" s="31" t="n">
        <f aca="false">IF(G48&gt;0,G41*G42,0)</f>
        <v>58880</v>
      </c>
      <c r="I62" s="31" t="n">
        <f aca="false">IF(I48&gt;0,I41*I42,0)</f>
        <v>56250</v>
      </c>
      <c r="J62" s="31" t="n">
        <f aca="false">IF(J48&gt;0,J41*J42,0)</f>
        <v>52083.3333333333</v>
      </c>
      <c r="K62" s="31" t="n">
        <f aca="false">IF(K48&gt;0,K41*K42,0)</f>
        <v>50000</v>
      </c>
      <c r="L62" s="31" t="n">
        <f aca="false">IF(L48&gt;0,L41*L42,0)</f>
        <v>48750</v>
      </c>
      <c r="M62" s="31" t="n">
        <f aca="false">IF(M48&gt;0,M41*M42,0)</f>
        <v>47916.6666666667</v>
      </c>
      <c r="N62" s="31" t="n">
        <f aca="false">IF(N48&gt;0,N41*N42,0)</f>
        <v>47321.4285714286</v>
      </c>
    </row>
    <row r="63" customFormat="false" ht="15" hidden="false" customHeight="false" outlineLevel="0" collapsed="false">
      <c r="B63" s="0" t="s">
        <v>351</v>
      </c>
      <c r="D63" s="31" t="n">
        <f aca="false">IF(e_krk,0,c_dieta*D50)</f>
        <v>7581.636</v>
      </c>
      <c r="E63" s="31" t="n">
        <f aca="false">IF(e_krk,0,c_dieta*E50)</f>
        <v>7581.636</v>
      </c>
      <c r="F63" s="31" t="n">
        <f aca="false">IF(e_krk,0,c_dieta*F50)</f>
        <v>8755.272</v>
      </c>
      <c r="G63" s="31" t="n">
        <f aca="false">IF(e_krk,0,c_dieta*G50)</f>
        <v>8755.272</v>
      </c>
      <c r="I63" s="31" t="n">
        <f aca="false">IF(e_krk,0,c_dieta*I50)</f>
        <v>7359.318</v>
      </c>
      <c r="J63" s="31" t="n">
        <f aca="false">IF(e_krk,0,c_dieta*J50)</f>
        <v>7383.159</v>
      </c>
      <c r="K63" s="31" t="n">
        <f aca="false">IF(e_krk,0,c_dieta*K50)</f>
        <v>7581.636</v>
      </c>
      <c r="L63" s="31" t="n">
        <f aca="false">IF(e_krk,0,c_dieta*L50)</f>
        <v>7605.477</v>
      </c>
      <c r="M63" s="31" t="n">
        <f aca="false">IF(e_krk,0,c_dieta*M50)</f>
        <v>7716.636</v>
      </c>
      <c r="N63" s="31" t="n">
        <f aca="false">IF(e_krk,0,c_dieta*N50)</f>
        <v>7740.477</v>
      </c>
    </row>
    <row r="64" customFormat="false" ht="15" hidden="false" customHeight="false" outlineLevel="0" collapsed="false">
      <c r="B64" s="11" t="s">
        <v>352</v>
      </c>
      <c r="D64" s="33" t="n">
        <f aca="false">SUM(D53:D63)</f>
        <v>779191.356</v>
      </c>
      <c r="E64" s="33" t="n">
        <f aca="false">SUM(E53:E63)</f>
        <v>818134.932</v>
      </c>
      <c r="F64" s="33" t="n">
        <f aca="false">SUM(F53:F63)</f>
        <v>896663.112</v>
      </c>
      <c r="G64" s="33" t="n">
        <f aca="false">SUM(G53:G63)</f>
        <v>935606.688</v>
      </c>
      <c r="I64" s="33" t="n">
        <f aca="false">SUM(I53:I63)</f>
        <v>789836.298</v>
      </c>
      <c r="J64" s="33" t="n">
        <f aca="false">SUM(J53:J63)</f>
        <v>780414.742333333</v>
      </c>
      <c r="K64" s="33" t="n">
        <f aca="false">SUM(K53:K63)</f>
        <v>779191.356</v>
      </c>
      <c r="L64" s="33" t="n">
        <f aca="false">SUM(L53:L63)</f>
        <v>776115.411</v>
      </c>
      <c r="M64" s="33" t="n">
        <f aca="false">SUM(M53:M63)</f>
        <v>775950.942666667</v>
      </c>
      <c r="N64" s="33" t="n">
        <f aca="false">SUM(N53:N63)</f>
        <v>774872.975571429</v>
      </c>
    </row>
    <row r="65" customFormat="false" ht="15" hidden="false" customHeight="false" outlineLevel="0" collapsed="false">
      <c r="B65" s="0" t="s">
        <v>353</v>
      </c>
      <c r="D65" s="31" t="n">
        <f aca="false">D64/(1-(c_kob+c_gdw+in_zysk))</f>
        <v>922119.947928994</v>
      </c>
      <c r="E65" s="31" t="n">
        <f aca="false">E64/(1-(c_kob+c_gdw+in_zysk))</f>
        <v>968207.020118343</v>
      </c>
      <c r="F65" s="31" t="n">
        <f aca="false">F64/(1-(c_kob+c_gdw+in_zysk))</f>
        <v>1061139.77751479</v>
      </c>
      <c r="G65" s="31" t="n">
        <f aca="false">G64/(1-(c_kob+c_gdw+in_zysk))</f>
        <v>1107226.84970414</v>
      </c>
      <c r="I65" s="31" t="n">
        <f aca="false">I64/(1-(c_kob+c_gdw+in_zysk))</f>
        <v>934717.512426036</v>
      </c>
      <c r="J65" s="31" t="n">
        <f aca="false">J64/(1-(c_kob+c_gdw+in_zysk))</f>
        <v>923567.742406312</v>
      </c>
      <c r="K65" s="31" t="n">
        <f aca="false">K64/(1-(c_kob+c_gdw+in_zysk))</f>
        <v>922119.947928994</v>
      </c>
      <c r="L65" s="31" t="n">
        <f aca="false">L64/(1-(c_kob+c_gdw+in_zysk))</f>
        <v>918479.776331361</v>
      </c>
      <c r="M65" s="31" t="n">
        <f aca="false">M64/(1-(c_kob+c_gdw+in_zysk))</f>
        <v>918285.139250493</v>
      </c>
      <c r="N65" s="31" t="n">
        <f aca="false">N64/(1-(c_kob+c_gdw+in_zysk))</f>
        <v>917009.438546069</v>
      </c>
    </row>
    <row r="66" customFormat="false" ht="15" hidden="false" customHeight="false" outlineLevel="0" collapsed="false">
      <c r="B66" s="0" t="s">
        <v>354</v>
      </c>
      <c r="D66" s="31" t="n">
        <f aca="false">D65*c_kob</f>
        <v>4610.59973964497</v>
      </c>
      <c r="E66" s="31" t="n">
        <f aca="false">E65*c_kob</f>
        <v>4841.03510059172</v>
      </c>
      <c r="F66" s="31" t="n">
        <f aca="false">F65*c_kob</f>
        <v>5305.69888757397</v>
      </c>
      <c r="G66" s="31" t="n">
        <f aca="false">G65*c_kob</f>
        <v>5536.13424852071</v>
      </c>
      <c r="I66" s="31" t="n">
        <f aca="false">I65*c_kob</f>
        <v>4673.58756213018</v>
      </c>
      <c r="J66" s="31" t="n">
        <f aca="false">J65*c_kob</f>
        <v>4617.83871203156</v>
      </c>
      <c r="K66" s="31" t="n">
        <f aca="false">K65*c_kob</f>
        <v>4610.59973964497</v>
      </c>
      <c r="L66" s="31" t="n">
        <f aca="false">L65*c_kob</f>
        <v>4592.3988816568</v>
      </c>
      <c r="M66" s="31" t="n">
        <f aca="false">M65*c_kob</f>
        <v>4591.42569625247</v>
      </c>
      <c r="N66" s="31" t="n">
        <f aca="false">N65*c_kob</f>
        <v>4585.04719273035</v>
      </c>
    </row>
    <row r="67" customFormat="false" ht="15" hidden="false" customHeight="false" outlineLevel="0" collapsed="false">
      <c r="B67" s="0" t="s">
        <v>355</v>
      </c>
      <c r="D67" s="31" t="n">
        <f aca="false">D65*c_gdw</f>
        <v>23052.9986982249</v>
      </c>
      <c r="E67" s="31" t="n">
        <f aca="false">E65*c_gdw</f>
        <v>24205.1755029586</v>
      </c>
      <c r="F67" s="31" t="n">
        <f aca="false">F65*c_gdw</f>
        <v>26528.4944378698</v>
      </c>
      <c r="G67" s="31" t="n">
        <f aca="false">G65*c_gdw</f>
        <v>27680.6712426036</v>
      </c>
      <c r="I67" s="31" t="n">
        <f aca="false">I65*c_gdw</f>
        <v>23367.9378106509</v>
      </c>
      <c r="J67" s="31" t="n">
        <f aca="false">J65*c_gdw</f>
        <v>23089.1935601578</v>
      </c>
      <c r="K67" s="31" t="n">
        <f aca="false">K65*c_gdw</f>
        <v>23052.9986982249</v>
      </c>
      <c r="L67" s="31" t="n">
        <f aca="false">L65*c_gdw</f>
        <v>22961.994408284</v>
      </c>
      <c r="M67" s="31" t="n">
        <f aca="false">M65*c_gdw</f>
        <v>22957.1284812623</v>
      </c>
      <c r="N67" s="31" t="n">
        <f aca="false">N65*c_gdw</f>
        <v>22925.2359636517</v>
      </c>
    </row>
    <row r="68" customFormat="false" ht="15" hidden="false" customHeight="false" outlineLevel="0" collapsed="false">
      <c r="B68" s="0" t="s">
        <v>84</v>
      </c>
      <c r="D68" s="31" t="n">
        <f aca="false">D65*in_zysk</f>
        <v>115264.993491124</v>
      </c>
      <c r="E68" s="31" t="n">
        <f aca="false">E65*in_zysk</f>
        <v>121025.877514793</v>
      </c>
      <c r="F68" s="31" t="n">
        <f aca="false">F65*in_zysk</f>
        <v>132642.472189349</v>
      </c>
      <c r="G68" s="31" t="n">
        <f aca="false">G65*in_zysk</f>
        <v>138403.356213018</v>
      </c>
      <c r="I68" s="31" t="n">
        <f aca="false">I65*in_zysk</f>
        <v>116839.689053254</v>
      </c>
      <c r="J68" s="31" t="n">
        <f aca="false">J65*in_zysk</f>
        <v>115445.967800789</v>
      </c>
      <c r="K68" s="31" t="n">
        <f aca="false">K65*in_zysk</f>
        <v>115264.993491124</v>
      </c>
      <c r="L68" s="31" t="n">
        <f aca="false">L65*in_zysk</f>
        <v>114809.97204142</v>
      </c>
      <c r="M68" s="31" t="n">
        <f aca="false">M65*in_zysk</f>
        <v>114785.642406312</v>
      </c>
      <c r="N68" s="31" t="n">
        <f aca="false">N65*in_zysk</f>
        <v>114626.179818259</v>
      </c>
    </row>
    <row r="69" customFormat="false" ht="15" hidden="false" customHeight="false" outlineLevel="0" collapsed="false">
      <c r="B69" s="0" t="s">
        <v>356</v>
      </c>
      <c r="D69" s="31" t="n">
        <f aca="false">c_podatek*(D60+D61+D62+D63+D67+D68)</f>
        <v>29860.8727465089</v>
      </c>
      <c r="E69" s="31" t="n">
        <f aca="false">c_podatek*(E60+E61+E62+E63+E67+E68)</f>
        <v>30828.7012624852</v>
      </c>
      <c r="F69" s="31" t="n">
        <f aca="false">c_podatek*(F60+F61+F62+F63+F67+F68)</f>
        <v>34405.1230078107</v>
      </c>
      <c r="G69" s="31" t="n">
        <f aca="false">c_podatek*(G60+G61+G62+G63+G67+G68)</f>
        <v>35372.951523787</v>
      </c>
      <c r="I69" s="31" t="n">
        <f aca="false">c_podatek*(I60+I61+I62+I63+I67+I68)</f>
        <v>30962.4174809467</v>
      </c>
      <c r="J69" s="31" t="n">
        <f aca="false">c_podatek*(J60+J61+J62+J63+J67+J68)</f>
        <v>29999.3265171992</v>
      </c>
      <c r="K69" s="31" t="n">
        <f aca="false">c_podatek*(K60+K61+K62+K63+K67+K68)</f>
        <v>29860.8727465089</v>
      </c>
      <c r="L69" s="31" t="n">
        <f aca="false">c_podatek*(L60+L61+L62+L63+L67+L68)</f>
        <v>29580.8208429586</v>
      </c>
      <c r="M69" s="31" t="n">
        <f aca="false">c_podatek*(M60+M61+M62+M63+M67+M68)</f>
        <v>29567.1198975937</v>
      </c>
      <c r="N69" s="31" t="n">
        <f aca="false">c_podatek*(N60+N61+N62+N63+N67+N68)</f>
        <v>29457.4267894675</v>
      </c>
    </row>
    <row r="70" customFormat="false" ht="15" hidden="false" customHeight="false" outlineLevel="0" collapsed="false">
      <c r="B70" s="11" t="s">
        <v>357</v>
      </c>
      <c r="D70" s="33" t="n">
        <f aca="false">D65+D69</f>
        <v>951980.820675503</v>
      </c>
      <c r="E70" s="33" t="n">
        <f aca="false">E65+E69</f>
        <v>999035.721380829</v>
      </c>
      <c r="F70" s="33" t="n">
        <f aca="false">F65+F69</f>
        <v>1095544.9005226</v>
      </c>
      <c r="G70" s="33" t="n">
        <f aca="false">G65+G69</f>
        <v>1142599.80122793</v>
      </c>
      <c r="I70" s="33" t="n">
        <f aca="false">I65+I69</f>
        <v>965679.929906982</v>
      </c>
      <c r="J70" s="33" t="n">
        <f aca="false">J65+J69</f>
        <v>953567.068923511</v>
      </c>
      <c r="K70" s="33" t="n">
        <f aca="false">K65+K69</f>
        <v>951980.820675503</v>
      </c>
      <c r="L70" s="33" t="n">
        <f aca="false">L65+L69</f>
        <v>948060.597174319</v>
      </c>
      <c r="M70" s="33" t="n">
        <f aca="false">M65+M69</f>
        <v>947852.259148087</v>
      </c>
      <c r="N70" s="33" t="n">
        <f aca="false">N65+N69</f>
        <v>946466.865335537</v>
      </c>
    </row>
    <row r="71" customFormat="false" ht="15" hidden="false" customHeight="false" outlineLevel="0" collapsed="false">
      <c r="B71" s="0" t="s">
        <v>358</v>
      </c>
      <c r="D71" s="31" t="n">
        <f aca="false">D70-D68</f>
        <v>836715.827184379</v>
      </c>
      <c r="E71" s="31" t="n">
        <f aca="false">E70-E68</f>
        <v>878009.843866036</v>
      </c>
      <c r="F71" s="31" t="n">
        <f aca="false">F70-F68</f>
        <v>962902.428333255</v>
      </c>
      <c r="G71" s="31" t="n">
        <f aca="false">G70-G68</f>
        <v>1004196.44501491</v>
      </c>
      <c r="I71" s="31" t="n">
        <f aca="false">I70-I68</f>
        <v>848840.240853728</v>
      </c>
      <c r="J71" s="31" t="n">
        <f aca="false">J70-J68</f>
        <v>838121.101122722</v>
      </c>
      <c r="K71" s="31" t="n">
        <f aca="false">K70-K68</f>
        <v>836715.827184379</v>
      </c>
      <c r="L71" s="31" t="n">
        <f aca="false">L70-L68</f>
        <v>833250.625132899</v>
      </c>
      <c r="M71" s="31" t="n">
        <f aca="false">M70-M68</f>
        <v>833066.616741775</v>
      </c>
      <c r="N71" s="31" t="n">
        <f aca="false">N70-N68</f>
        <v>831840.685517278</v>
      </c>
    </row>
    <row r="72" customFormat="false" ht="15" hidden="false" customHeight="false" outlineLevel="0" collapsed="false">
      <c r="B72" s="0" t="s">
        <v>109</v>
      </c>
      <c r="D72" s="31" t="n">
        <f aca="false">IF(m_MP&gt;0,D70/m_MP,0)</f>
        <v>15866.3470112584</v>
      </c>
      <c r="E72" s="31" t="n">
        <f aca="false">IF(m_MP&gt;0,E70/m_MP,0)</f>
        <v>16650.5953563471</v>
      </c>
      <c r="F72" s="31" t="n">
        <f aca="false">IF(m_MP&gt;0,F70/m_MP,0)</f>
        <v>18259.0816753767</v>
      </c>
      <c r="G72" s="31" t="n">
        <f aca="false">IF(m_MP&gt;0,G70/m_MP,0)</f>
        <v>19043.3300204655</v>
      </c>
      <c r="I72" s="31" t="n">
        <f aca="false">IF(m_MP&gt;0,I70/m_MP,0)</f>
        <v>16094.6654984497</v>
      </c>
      <c r="J72" s="31" t="n">
        <f aca="false">IF(m_MP&gt;0,J70/m_MP,0)</f>
        <v>15892.7844820585</v>
      </c>
      <c r="K72" s="31" t="n">
        <f aca="false">IF(m_MP&gt;0,K70/m_MP,0)</f>
        <v>15866.3470112584</v>
      </c>
      <c r="L72" s="31" t="n">
        <f aca="false">IF(m_MP&gt;0,L70/m_MP,0)</f>
        <v>15801.0099529053</v>
      </c>
      <c r="M72" s="31" t="n">
        <f aca="false">IF(m_MP&gt;0,M70/m_MP,0)</f>
        <v>15797.5376524681</v>
      </c>
      <c r="N72" s="31" t="n">
        <f aca="false">IF(m_MP&gt;0,N70/m_MP,0)</f>
        <v>15774.4477555923</v>
      </c>
    </row>
    <row r="73" customFormat="false" ht="15" hidden="false" customHeight="false" outlineLevel="0" collapsed="false">
      <c r="B73" s="0" t="s">
        <v>82</v>
      </c>
      <c r="D73" s="39" t="n">
        <f aca="false">D72/in_eur</f>
        <v>3668.51954017535</v>
      </c>
      <c r="E73" s="39" t="n">
        <f aca="false">E72/in_eur</f>
        <v>3849.8486373057</v>
      </c>
      <c r="F73" s="39" t="n">
        <f aca="false">F72/in_eur</f>
        <v>4221.75298852641</v>
      </c>
      <c r="G73" s="39" t="n">
        <f aca="false">G72/in_eur</f>
        <v>4403.08208565676</v>
      </c>
      <c r="I73" s="39" t="n">
        <f aca="false">I72/in_eur</f>
        <v>3721.30994183808</v>
      </c>
      <c r="J73" s="39" t="n">
        <f aca="false">J72/in_eur</f>
        <v>3674.63225018694</v>
      </c>
      <c r="K73" s="39" t="n">
        <f aca="false">K72/in_eur</f>
        <v>3668.51954017535</v>
      </c>
      <c r="L73" s="39" t="n">
        <f aca="false">L72/in_eur</f>
        <v>3653.41270587406</v>
      </c>
      <c r="M73" s="39" t="n">
        <f aca="false">M72/in_eur</f>
        <v>3652.60986184234</v>
      </c>
      <c r="N73" s="39" t="n">
        <f aca="false">N72/in_eur</f>
        <v>3647.27115736238</v>
      </c>
    </row>
    <row r="74" customFormat="false" ht="15" hidden="false" customHeight="false" outlineLevel="0" collapsed="false">
      <c r="B74" s="0" t="s">
        <v>359</v>
      </c>
      <c r="D74" s="31" t="n">
        <f aca="false">(D64-D58+c_dzwig_alt*e_dzw_dni)/(1-(c_kob+c_gdw+in_zysk_min))</f>
        <v>894242.937931035</v>
      </c>
      <c r="E74" s="31" t="n">
        <f aca="false">(E64-E58+c_dzwig_alt*e_dzw_dni)/(1-(c_kob+c_gdw+in_zysk_min))</f>
        <v>939005.668965517</v>
      </c>
      <c r="F74" s="31" t="n">
        <f aca="false">(F64-F58+c_dzwig_alt*e_dzw_dni)/(1-(c_kob+c_gdw+in_zysk_min))</f>
        <v>1029267.94482759</v>
      </c>
      <c r="G74" s="31" t="n">
        <f aca="false">(G64-G58+c_dzwig_alt*e_dzw_dni)/(1-(c_kob+c_gdw+in_zysk_min))</f>
        <v>1074030.67586207</v>
      </c>
      <c r="I74" s="31" t="n">
        <f aca="false">(I64-I58+c_dzwig_alt*e_dzw_dni)/(1-(c_kob+c_gdw+in_zysk_min))</f>
        <v>906478.503448276</v>
      </c>
      <c r="J74" s="31" t="n">
        <f aca="false">(J64-J58+c_dzwig_alt*e_dzw_dni)/(1-(c_kob+c_gdw+in_zysk_min))</f>
        <v>895649.129118774</v>
      </c>
      <c r="K74" s="31" t="n">
        <f aca="false">(K64-K58+c_dzwig_alt*e_dzw_dni)/(1-(c_kob+c_gdw+in_zysk_min))</f>
        <v>894242.937931035</v>
      </c>
      <c r="L74" s="31" t="n">
        <f aca="false">(L64-L58+c_dzwig_alt*e_dzw_dni)/(1-(c_kob+c_gdw+in_zysk_min))</f>
        <v>890707.368965517</v>
      </c>
      <c r="M74" s="31" t="n">
        <f aca="false">(M64-M58+c_dzwig_alt*e_dzw_dni)/(1-(c_kob+c_gdw+in_zysk_min))</f>
        <v>890518.324904215</v>
      </c>
      <c r="N74" s="31" t="n">
        <f aca="false">(N64-N58+c_dzwig_alt*e_dzw_dni)/(1-(c_kob+c_gdw+in_zysk_min))</f>
        <v>889279.28226601</v>
      </c>
    </row>
    <row r="75" customFormat="false" ht="15" hidden="false" customHeight="false" outlineLevel="0" collapsed="false">
      <c r="B75" s="11" t="s">
        <v>360</v>
      </c>
      <c r="D75" s="33" t="n">
        <f aca="false">D74+c_podatek*(D60+D61+D62+D63+D74*(c_gdw+in_zysk_min))</f>
        <v>920388.543184828</v>
      </c>
      <c r="E75" s="33" t="n">
        <f aca="false">E74+c_podatek*(E60+E61+E62+E63+E74*(c_gdw+in_zysk_min))</f>
        <v>965934.622012414</v>
      </c>
      <c r="F75" s="33" t="n">
        <f aca="false">F74+c_podatek*(F60+F61+F62+F63+F74*(c_gdw+in_zysk_min))</f>
        <v>1059401.32154207</v>
      </c>
      <c r="G75" s="33" t="n">
        <f aca="false">G74+c_podatek*(G60+G61+G62+G63+G74*(c_gdw+in_zysk_min))</f>
        <v>1104947.40036966</v>
      </c>
      <c r="I75" s="33" t="n">
        <f aca="false">I74+c_podatek*(I60+I61+I62+I63+I74*(c_gdw+in_zysk_min))</f>
        <v>933675.226978621</v>
      </c>
      <c r="J75" s="33" t="n">
        <f aca="false">J74+c_podatek*(J60+J61+J62+J63+J74*(c_gdw+in_zysk_min))</f>
        <v>921927.392805019</v>
      </c>
      <c r="K75" s="33" t="n">
        <f aca="false">K74+c_podatek*(K60+K61+K62+K63+K74*(c_gdw+in_zysk_min))</f>
        <v>920388.543184828</v>
      </c>
      <c r="L75" s="33" t="n">
        <f aca="false">L74+c_podatek*(L60+L61+L62+L63+L74*(c_gdw+in_zysk_min))</f>
        <v>916587.493462414</v>
      </c>
      <c r="M75" s="33" t="n">
        <f aca="false">M74+c_podatek*(M60+M61+M62+M63+M74*(c_gdw+in_zysk_min))</f>
        <v>916385.527563372</v>
      </c>
      <c r="N75" s="33" t="n">
        <f aca="false">N74+c_podatek*(N60+N61+N62+N63+N74*(c_gdw+in_zysk_min))</f>
        <v>915041.898285665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2026-10-19T16:18:40Z</dcterms:created>
  <dc:creator>openpyxl</dc:creator>
  <dc:description/>
  <dc:language>en-US</dc:language>
  <cp:lastModifiedBy/>
  <dcterms:modified xsi:type="dcterms:W3CDTF">2026-10-19T16:18:40Z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