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ne" sheetId="1" state="visible" r:id="rId3"/>
    <sheet name="Podsumowanie" sheetId="2" state="visible" r:id="rId4"/>
    <sheet name="Cennik" sheetId="3" state="visible" r:id="rId5"/>
    <sheet name="Obliczenia" sheetId="4" state="visible" r:id="rId6"/>
  </sheets>
  <definedNames>
    <definedName function="false" hidden="false" name="c_admin" vbProcedure="false">Cennik!$C$31</definedName>
    <definedName function="false" hidden="false" name="c_agregat" vbProcedure="false">Cennik!$C$18</definedName>
    <definedName function="false" hidden="false" name="c_barierka" vbProcedure="false">Cennik!$C$28</definedName>
    <definedName function="false" hidden="false" name="c_cena_D" vbProcedure="false">Cennik!$C$6</definedName>
    <definedName function="false" hidden="false" name="c_dieta" vbProcedure="false">Cennik!$C$63</definedName>
    <definedName function="false" hidden="false" name="c_dl_500" vbProcedure="false">Cennik!$C$14</definedName>
    <definedName function="false" hidden="false" name="c_dl_wsp" vbProcedure="false">Cennik!$C$15</definedName>
    <definedName function="false" hidden="false" name="c_dni_tydzien" vbProcedure="false">Cennik!$C$50</definedName>
    <definedName function="false" hidden="false" name="c_doplata_NK37" vbProcedure="false">Cennik!$C$7</definedName>
    <definedName function="false" hidden="false" name="c_dzwig" vbProcedure="false">Cennik!$C$46</definedName>
    <definedName function="false" hidden="false" name="c_dzwig_alt" vbProcedure="false">Cennik!$C$47</definedName>
    <definedName function="false" hidden="false" name="c_dzwig_D" vbProcedure="false">Cennik!$C$48</definedName>
    <definedName function="false" hidden="false" name="c_dzwig_wspS" vbProcedure="false">Cennik!$C$49</definedName>
    <definedName function="false" hidden="false" name="c_gdw" vbProcedure="false">Cennik!$C$67</definedName>
    <definedName function="false" hidden="false" name="c_hotel" vbProcedure="false">Cennik!$C$64</definedName>
    <definedName function="false" hidden="false" name="c_hydr_drobne" vbProcedure="false">Cennik!$C$20</definedName>
    <definedName function="false" hidden="false" name="c_km_dodatek" vbProcedure="false">Cennik!$C$52</definedName>
    <definedName function="false" hidden="false" name="c_km_dzien" vbProcedure="false">Cennik!$C$54</definedName>
    <definedName function="false" hidden="false" name="c_km_krakow" vbProcedure="false">Cennik!$C$53</definedName>
    <definedName function="false" hidden="false" name="c_kob" vbProcedure="false">Cennik!$C$66</definedName>
    <definedName function="false" hidden="false" name="c_konserw" vbProcedure="false">Cennik!$C$70</definedName>
    <definedName function="false" hidden="false" name="c_konserw2" vbProcedure="false">Cennik!$C$71</definedName>
    <definedName function="false" hidden="false" name="c_konserw3" vbProcedure="false">Cennik!$C$72</definedName>
    <definedName function="false" hidden="false" name="c_magistrala" vbProcedure="false">Cennik!$C$26</definedName>
    <definedName function="false" hidden="false" name="c_mal_bar" vbProcedure="false">Cennik!$C$35</definedName>
    <definedName function="false" hidden="false" name="c_mal_D" vbProcedure="false">Cennik!$C$34</definedName>
    <definedName function="false" hidden="false" name="c_mal_S" vbProcedure="false">Cennik!$C$33</definedName>
    <definedName function="false" hidden="false" name="c_maskownica" vbProcedure="false">Cennik!$C$29</definedName>
    <definedName function="false" hidden="false" name="c_odbiory_osoby" vbProcedure="false">Cennik!$C$58</definedName>
    <definedName function="false" hidden="false" name="c_olej" vbProcedure="false">Cennik!$C$19</definedName>
    <definedName function="false" hidden="false" name="c_osd_barierka" vbProcedure="false">Cennik!$C$44</definedName>
    <definedName function="false" hidden="false" name="c_osd_D" vbProcedure="false">Cennik!$C$41</definedName>
    <definedName function="false" hidden="false" name="c_osd_magistrala" vbProcedure="false">Cennik!$C$43</definedName>
    <definedName function="false" hidden="false" name="c_osd_NP" vbProcedure="false">Cennik!$C$42</definedName>
    <definedName function="false" hidden="false" name="c_osd_S" vbProcedure="false">Cennik!$C$40</definedName>
    <definedName function="false" hidden="false" name="c_paliwo" vbProcedure="false">Cennik!$C$56</definedName>
    <definedName function="false" hidden="false" name="c_podatek" vbProcedure="false">Cennik!$C$68</definedName>
    <definedName function="false" hidden="false" name="c_pomiary_osoby" vbProcedure="false">Cennik!$C$57</definedName>
    <definedName function="false" hidden="false" name="c_q2500" vbProcedure="false">Cennik!$C$16</definedName>
    <definedName function="false" hidden="false" name="c_rozl_TIR" vbProcedure="false">Cennik!$C$45</definedName>
    <definedName function="false" hidden="false" name="c_sil_1700" vbProcedure="false">Cennik!$C$23</definedName>
    <definedName function="false" hidden="false" name="c_sil_2000" vbProcedure="false">Cennik!$C$24</definedName>
    <definedName function="false" hidden="false" name="c_sil_2250" vbProcedure="false">Cennik!$C$25</definedName>
    <definedName function="false" hidden="false" name="c_skrzynka_zasil" vbProcedure="false">Cennik!$C$30</definedName>
    <definedName function="false" hidden="false" name="c_slupek" vbProcedure="false">Cennik!$C$36</definedName>
    <definedName function="false" hidden="false" name="c_slupek22" vbProcedure="false">Cennik!$C$37</definedName>
    <definedName function="false" hidden="false" name="c_slupek_rbd" vbProcedure="false">Cennik!$C$38</definedName>
    <definedName function="false" hidden="false" name="c_spalanie" vbProcedure="false">Cennik!$C$55</definedName>
    <definedName function="false" hidden="false" name="c_stawka_1" vbProcedure="false">Cennik!$C$60</definedName>
    <definedName function="false" hidden="false" name="c_stawka_2" vbProcedure="false">Cennik!$C$61</definedName>
    <definedName function="false" hidden="false" name="c_stawka_n" vbProcedure="false">Cennik!$C$62</definedName>
    <definedName function="false" hidden="false" name="c_szer_260" vbProcedure="false">Cennik!$C$10</definedName>
    <definedName function="false" hidden="false" name="c_szer_270" vbProcedure="false">Cennik!$C$11</definedName>
    <definedName function="false" hidden="false" name="c_szer_520" vbProcedure="false">Cennik!$C$12</definedName>
    <definedName function="false" hidden="false" name="c_szer_540" vbProcedure="false">Cennik!$C$13</definedName>
    <definedName function="false" hidden="false" name="c_transp_agregatu" vbProcedure="false">Cennik!$C$21</definedName>
    <definedName function="false" hidden="false" name="c_transp_silownikow" vbProcedure="false">Cennik!$C$22</definedName>
    <definedName function="false" hidden="false" name="c_wsp_NP" vbProcedure="false">Cennik!$C$9</definedName>
    <definedName function="false" hidden="false" name="c_wsp_S" vbProcedure="false">Cennik!$C$8</definedName>
    <definedName function="false" hidden="false" name="e_dzw_dni" vbProcedure="false">Obliczenia!$C$33</definedName>
    <definedName function="false" hidden="false" name="e_km_mon" vbProcedure="false">Obliczenia!$C$30</definedName>
    <definedName function="false" hidden="false" name="e_km_pom" vbProcedure="false">Obliczenia!$C$29</definedName>
    <definedName function="false" hidden="false" name="e_krk" vbProcedure="false">Obliczenia!$C$28</definedName>
    <definedName function="false" hidden="false" name="e_mnoznik" vbProcedure="false">Obliczenia!$C$34</definedName>
    <definedName function="false" hidden="false" name="e_podr_pom" vbProcedure="false">Obliczenia!$C$32</definedName>
    <definedName function="false" hidden="false" name="e_rozl_dni" vbProcedure="false">Obliczenia!$C$31</definedName>
    <definedName function="false" hidden="false" name="in_agregaty" vbProcedure="false">Dane!$C$22</definedName>
    <definedName function="false" hidden="false" name="in_analiza" vbProcedure="false">Dane!$C$60</definedName>
    <definedName function="false" hidden="false" name="in_barierki" vbProcedure="false">Dane!$C$24</definedName>
    <definedName function="false" hidden="false" name="in_D" vbProcedure="false">Dane!$C$20</definedName>
    <definedName function="false" hidden="false" name="in_data" vbProcedure="false">Dane!$C$7</definedName>
    <definedName function="false" hidden="false" name="in_dl500_D" vbProcedure="false">Dane!$D$42</definedName>
    <definedName function="false" hidden="false" name="in_dl500_S" vbProcedure="false">Dane!$C$42</definedName>
    <definedName function="false" hidden="false" name="in_dl540_D" vbProcedure="false">Dane!$D$43</definedName>
    <definedName function="false" hidden="false" name="in_dl540_S" vbProcedure="false">Dane!$C$43</definedName>
    <definedName function="false" hidden="false" name="in_dl550_D" vbProcedure="false">Dane!$D$44</definedName>
    <definedName function="false" hidden="false" name="in_dl550_S" vbProcedure="false">Dane!$C$44</definedName>
    <definedName function="false" hidden="false" name="in_eur" vbProcedure="false">Dane!$C$59</definedName>
    <definedName function="false" hidden="false" name="in_gl_D" vbProcedure="false">Dane!$D$30:$D$38</definedName>
    <definedName function="false" hidden="false" name="in_gl_S" vbProcedure="false">Dane!$C$30:$C$38</definedName>
    <definedName function="false" hidden="false" name="in_km" vbProcedure="false">Dane!$C$13</definedName>
    <definedName function="false" hidden="false" name="in_km_mon" vbProcedure="false">Dane!$C$15</definedName>
    <definedName function="false" hidden="false" name="in_km_pom" vbProcedure="false">Dane!$C$14</definedName>
    <definedName function="false" hidden="false" name="in_lok" vbProcedure="false">Dane!$C$12</definedName>
    <definedName function="false" hidden="false" name="in_magistrala" vbProcedure="false">Dane!$C$23</definedName>
    <definedName function="false" hidden="false" name="in_maskownice" vbProcedure="false">Dane!$C$25</definedName>
    <definedName function="false" hidden="false" name="in_nazwa" vbProcedure="false">Dane!$C$6</definedName>
    <definedName function="false" hidden="false" name="in_NP" vbProcedure="false">Dane!$C$21</definedName>
    <definedName function="false" hidden="false" name="in_nr" vbProcedure="false">Dane!$C$8</definedName>
    <definedName function="false" hidden="false" name="in_opis" vbProcedure="false">Dane!$C$9</definedName>
    <definedName function="false" hidden="false" name="in_osoby" vbProcedure="false">Dane!$C$51</definedName>
    <definedName function="false" hidden="false" name="in_q2500" vbProcedure="false">Dane!$C$58</definedName>
    <definedName function="false" hidden="false" name="in_rozl_cena" vbProcedure="false">Dane!$C$49</definedName>
    <definedName function="false" hidden="false" name="in_rozl_dni" vbProcedure="false">Dane!$C$50</definedName>
    <definedName function="false" hidden="false" name="in_S" vbProcedure="false">Dane!$C$19</definedName>
    <definedName function="false" hidden="false" name="in_szer1_D" vbProcedure="false">Dane!$D$40</definedName>
    <definedName function="false" hidden="false" name="in_szer1_S" vbProcedure="false">Dane!$C$40</definedName>
    <definedName function="false" hidden="false" name="in_szer2_D" vbProcedure="false">Dane!$D$41</definedName>
    <definedName function="false" hidden="false" name="in_szer2_S" vbProcedure="false">Dane!$C$41</definedName>
    <definedName function="false" hidden="false" name="in_tir" vbProcedure="false">Dane!$C$47</definedName>
    <definedName function="false" hidden="false" name="in_tir_cena" vbProcedure="false">Dane!$C$48</definedName>
    <definedName function="false" hidden="false" name="in_typ" vbProcedure="false">Dane!$C$18</definedName>
    <definedName function="false" hidden="false" name="in_utr_dod" vbProcedure="false">Dane!$C$26</definedName>
    <definedName function="false" hidden="false" name="in_wyjazdy" vbProcedure="false">Dane!$C$52</definedName>
    <definedName function="false" hidden="false" name="in_wzor" vbProcedure="false">Dane!$C$53</definedName>
    <definedName function="false" hidden="false" name="in_zysk" vbProcedure="false">Dane!$C$56</definedName>
    <definedName function="false" hidden="false" name="in_zysk_min" vbProcedure="false">Dane!$C$57</definedName>
    <definedName function="false" hidden="false" name="m_barierki" vbProcedure="false">Obliczenia!$C$18</definedName>
    <definedName function="false" hidden="false" name="m_cena_D" vbProcedure="false">Obliczenia!$C$5</definedName>
    <definedName function="false" hidden="false" name="m_cena_NP" vbProcedure="false">Obliczenia!$C$7</definedName>
    <definedName function="false" hidden="false" name="m_cena_S" vbProcedure="false">Obliczenia!$C$6</definedName>
    <definedName function="false" hidden="false" name="m_DN" vbProcedure="false">Obliczenia!$C$8</definedName>
    <definedName function="false" hidden="false" name="m_elektryka" vbProcedure="false">Obliczenia!$C$19</definedName>
    <definedName function="false" hidden="false" name="m_hydraulika" vbProcedure="false">Obliczenia!$C$17</definedName>
    <definedName function="false" hidden="false" name="m_malowanie" vbProcedure="false">Obliczenia!$C$23</definedName>
    <definedName function="false" hidden="false" name="m_mechanika" vbProcedure="false">Obliczenia!$C$20</definedName>
    <definedName function="false" hidden="false" name="m_MP" vbProcedure="false">Obliczenia!$C$10</definedName>
    <definedName function="false" hidden="false" name="m_platformy" vbProcedure="false">Obliczenia!$C$9</definedName>
    <definedName function="false" hidden="false" name="m_plat_D" vbProcedure="false">Obliczenia!$C$12</definedName>
    <definedName function="false" hidden="false" name="m_plat_NP" vbProcedure="false">Obliczenia!$C$13</definedName>
    <definedName function="false" hidden="false" name="m_plat_S" vbProcedure="false">Obliczenia!$C$11</definedName>
    <definedName function="false" hidden="false" name="m_sil_2000" vbProcedure="false">Obliczenia!$C$14</definedName>
    <definedName function="false" hidden="false" name="m_sil_2250" vbProcedure="false">Obliczenia!$C$15</definedName>
    <definedName function="false" hidden="false" name="m_sil_std" vbProcedure="false">Obliczenia!$C$16</definedName>
    <definedName function="false" hidden="false" name="m_suma_2000" vbProcedure="false">Obliczenia!$C$21</definedName>
    <definedName function="false" hidden="false" name="m_suma_2500" vbProcedure="false">Obliczenia!$C$22</definedName>
    <definedName function="false" hidden="false" name="m_utr" vbProcedure="false">Obliczenia!$C$25</definedName>
    <definedName function="false" hidden="false" name="m_utr_auto" vbProcedure="false">Obliczenia!$C$24</definedName>
    <definedName function="false" hidden="false" name="t_gl_doplata" vbProcedure="false">Cennik!$C$76:$C$84</definedName>
    <definedName function="false" hidden="false" name="t_gl_silownik" vbProcedure="false">Cennik!$D$76:$D$84</definedName>
    <definedName function="false" hidden="false" name="t_sk_cena" vbProcedure="false">Cennik!$C$88:$C$114</definedName>
    <definedName function="false" hidden="false" name="t_sk_D" vbProcedure="false">Cennik!$E$88:$E$114</definedName>
    <definedName function="false" hidden="false" name="t_sk_grupa" vbProcedure="false">Cennik!$F$88:$F$114</definedName>
    <definedName function="false" hidden="false" name="t_sk_S" vbProcedure="false">Cennik!$D$88:$D$114</definedName>
    <definedName function="false" hidden="false" name="t_wymiary" vbProcedure="false">Dane!$F$46</definedName>
    <definedName function="false" hidden="false" name="t_zaglebienia" vbProcedure="false">Dane!$F$45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<sst xmlns="http://schemas.openxmlformats.org/spreadsheetml/2006/main" count="417" uniqueCount="360">
  <si>
    <t xml:space="preserve">KALKULATOR NK38 - DANE WEJŚCIOWE</t>
  </si>
  <si>
    <t xml:space="preserve">Wypełniasz tylko żółte pola. Puste pole = 0 lub wartość automatyczna. Wynik: arkusz Podsumowanie.</t>
  </si>
  <si>
    <t xml:space="preserve">1. Inwestycja</t>
  </si>
  <si>
    <t xml:space="preserve">Nazwa / adres inwestycji</t>
  </si>
  <si>
    <t xml:space="preserve">ul. ...</t>
  </si>
  <si>
    <t xml:space="preserve">Data oferty</t>
  </si>
  <si>
    <t xml:space="preserve">Nr oferty / handlowiec</t>
  </si>
  <si>
    <t xml:space="preserve">SNK</t>
  </si>
  <si>
    <t xml:space="preserve">Opis / wariant (H, L, P, Hpoj ...)</t>
  </si>
  <si>
    <t xml:space="preserve">2. Lokalizacja</t>
  </si>
  <si>
    <t xml:space="preserve">Lokalizacja</t>
  </si>
  <si>
    <t xml:space="preserve">Poza Krakowem</t>
  </si>
  <si>
    <t xml:space="preserve">Kraków: montaż w dniach, 20 km, bez hotelu i diet</t>
  </si>
  <si>
    <t xml:space="preserve">Odległość od Krakowa [km, faktyczna, w jedną stronę]</t>
  </si>
  <si>
    <t xml:space="preserve">Pomiary = ta odległość, montaż = +50 km</t>
  </si>
  <si>
    <t xml:space="preserve">Nadpisz: km na pomiary / odbiory</t>
  </si>
  <si>
    <t xml:space="preserve">puste = automatycznie</t>
  </si>
  <si>
    <t xml:space="preserve">Nadpisz: km na montaż</t>
  </si>
  <si>
    <t xml:space="preserve">3. Urządzenia</t>
  </si>
  <si>
    <t xml:space="preserve">Typ urządzenia</t>
  </si>
  <si>
    <t xml:space="preserve">NK38</t>
  </si>
  <si>
    <t xml:space="preserve">Platformy pojedyncze S (2 MP)</t>
  </si>
  <si>
    <t xml:space="preserve">Platformy podwójne D (4 MP)</t>
  </si>
  <si>
    <t xml:space="preserve">Systemy dla N.P. (2 MP, liczone jak D)</t>
  </si>
  <si>
    <t xml:space="preserve">Agregaty</t>
  </si>
  <si>
    <t xml:space="preserve">Zależy od układu garażu (1 agregat do 6 platform)</t>
  </si>
  <si>
    <t xml:space="preserve">Magistrala EXTRA [odcinki 6 m]</t>
  </si>
  <si>
    <t xml:space="preserve">Barierki [szt. na stronę]</t>
  </si>
  <si>
    <t xml:space="preserve">Maskownice / bariery tylne</t>
  </si>
  <si>
    <t xml:space="preserve">Utrudnienia - dodatkowe osobodni (ręcznie)</t>
  </si>
  <si>
    <t xml:space="preserve">Doliczane do utrudnień z magistrali i barierek (dawny 'tonaż')</t>
  </si>
  <si>
    <t xml:space="preserve">4. Wymiary niestandardowe (ile platform danego typu)</t>
  </si>
  <si>
    <t xml:space="preserve">S</t>
  </si>
  <si>
    <t xml:space="preserve">D</t>
  </si>
  <si>
    <t xml:space="preserve">Pozostałe platformy = wymiar standardowy (250/500, 170, 530)</t>
  </si>
  <si>
    <t xml:space="preserve">(pomocnicze do opisu)</t>
  </si>
  <si>
    <t xml:space="preserve">Zagłębienie 175 cm</t>
  </si>
  <si>
    <t xml:space="preserve">Zagłębienie 180 cm</t>
  </si>
  <si>
    <t xml:space="preserve">Zagłębienie 185 cm</t>
  </si>
  <si>
    <t xml:space="preserve">Zagłębienie 190 cm</t>
  </si>
  <si>
    <t xml:space="preserve">Zagłębienie 195 cm</t>
  </si>
  <si>
    <t xml:space="preserve">Zagłębienie 200 cm</t>
  </si>
  <si>
    <t xml:space="preserve">Zagłębienie 210 cm</t>
  </si>
  <si>
    <t xml:space="preserve">Zagłębienie 220 cm</t>
  </si>
  <si>
    <t xml:space="preserve">Zagłębienie 225 cm</t>
  </si>
  <si>
    <t xml:space="preserve">Zagłębienie 170 cm (standard) - wyliczone</t>
  </si>
  <si>
    <t xml:space="preserve">Szerokość 260 (S) / 520 (D)</t>
  </si>
  <si>
    <t xml:space="preserve">Szerokość 270 (S) / 540 (D)</t>
  </si>
  <si>
    <t xml:space="preserve">Długość zagłębienia 500-510 cm</t>
  </si>
  <si>
    <t xml:space="preserve">Długość zagłębienia 540 cm</t>
  </si>
  <si>
    <t xml:space="preserve">Długość zagłębienia 550 cm</t>
  </si>
  <si>
    <t xml:space="preserve">5. Transport i ekipa</t>
  </si>
  <si>
    <t xml:space="preserve">Liczba transportów (TIR)</t>
  </si>
  <si>
    <t xml:space="preserve">Cena transportu / TIR</t>
  </si>
  <si>
    <t xml:space="preserve">Orientacyjnie: KRK 1600, WAW/WRO 3300, POZ/ZG 4500</t>
  </si>
  <si>
    <t xml:space="preserve">Rozładunek - sprzęt / TIR</t>
  </si>
  <si>
    <t xml:space="preserve">WAW 1700, KRK 500</t>
  </si>
  <si>
    <t xml:space="preserve">Nadpisz: dni rozładunku</t>
  </si>
  <si>
    <t xml:space="preserve">puste = 0,5 dnia / TIR</t>
  </si>
  <si>
    <t xml:space="preserve">Liczba osób na montażu</t>
  </si>
  <si>
    <t xml:space="preserve">Stawki: 500 / 400 / każda kolejna 350 zł. Zobacz analizę liczby osób w Podsumowaniu</t>
  </si>
  <si>
    <t xml:space="preserve">Nadpisz: tygodnie (Kraków: dni) montażu</t>
  </si>
  <si>
    <t xml:space="preserve">Wzór czasu podróży</t>
  </si>
  <si>
    <t xml:space="preserve">Stary (poprawiony)</t>
  </si>
  <si>
    <t xml:space="preserve">Patrz uwagi w Podsumowaniu</t>
  </si>
  <si>
    <t xml:space="preserve">6. Narzuty i kurs</t>
  </si>
  <si>
    <t xml:space="preserve">Zysk (udział w cenie)</t>
  </si>
  <si>
    <t xml:space="preserve">Zysk do sprawdzenia 'do ilu zejdziemy' (cena minimalna)</t>
  </si>
  <si>
    <t xml:space="preserve">Dopłata za Q=2500 kg</t>
  </si>
  <si>
    <t xml:space="preserve">domyślnie 7% z Cennika</t>
  </si>
  <si>
    <t xml:space="preserve">Kurs EUR/PLN</t>
  </si>
  <si>
    <t xml:space="preserve">Analiza liczby osób dla wariantu</t>
  </si>
  <si>
    <t xml:space="preserve">2000 kg</t>
  </si>
  <si>
    <t xml:space="preserve">Kontrola danych</t>
  </si>
  <si>
    <t xml:space="preserve">PODSUMOWANIE OFERTY NK38</t>
  </si>
  <si>
    <t xml:space="preserve">Wariant</t>
  </si>
  <si>
    <t xml:space="preserve">2500 kg</t>
  </si>
  <si>
    <t xml:space="preserve">2000 kg + słupki</t>
  </si>
  <si>
    <t xml:space="preserve">2500 kg + słupki</t>
  </si>
  <si>
    <t xml:space="preserve">CENA KONTRAKTU NETTO</t>
  </si>
  <si>
    <t xml:space="preserve">Cena za miejsce postojowe</t>
  </si>
  <si>
    <t xml:space="preserve">Cena za MP [EUR]</t>
  </si>
  <si>
    <t xml:space="preserve">Cena minimalna (zysk do sprawdzenia)</t>
  </si>
  <si>
    <t xml:space="preserve">Zysk</t>
  </si>
  <si>
    <t xml:space="preserve">Koszt rzeczywisty</t>
  </si>
  <si>
    <t xml:space="preserve">Urządzenia (materiały)</t>
  </si>
  <si>
    <t xml:space="preserve">Słupki e-ładowarek</t>
  </si>
  <si>
    <t xml:space="preserve">Transport, dźwig, rozładunek</t>
  </si>
  <si>
    <t xml:space="preserve">Robocizna (montaż, rozładunek, dojazdy)</t>
  </si>
  <si>
    <t xml:space="preserve">Hotel, diety, paliwo</t>
  </si>
  <si>
    <t xml:space="preserve">KOB + GDW + podatek</t>
  </si>
  <si>
    <t xml:space="preserve">Dni pracy ekipy</t>
  </si>
  <si>
    <t xml:space="preserve">Tygodnie (Kraków: dni) montażu</t>
  </si>
  <si>
    <t xml:space="preserve">Osobodni razem</t>
  </si>
  <si>
    <t xml:space="preserve">Opcje do oferty (cena z narzutami)</t>
  </si>
  <si>
    <t xml:space="preserve">Q=2000 kg</t>
  </si>
  <si>
    <t xml:space="preserve">Q=2500 kg</t>
  </si>
  <si>
    <t xml:space="preserve">Słupki e-ładowarek 3,7 kW (z robocizną)</t>
  </si>
  <si>
    <t xml:space="preserve">Słupki e-ładowarek 22 kW (z robocizną)</t>
  </si>
  <si>
    <t xml:space="preserve">Malowanie proszkowe RAL</t>
  </si>
  <si>
    <t xml:space="preserve">Liczba osób</t>
  </si>
  <si>
    <t xml:space="preserve">2 os.</t>
  </si>
  <si>
    <t xml:space="preserve">3 os.</t>
  </si>
  <si>
    <t xml:space="preserve">4 os.</t>
  </si>
  <si>
    <t xml:space="preserve">5 os.</t>
  </si>
  <si>
    <t xml:space="preserve">6 os.</t>
  </si>
  <si>
    <t xml:space="preserve">7 os.</t>
  </si>
  <si>
    <t xml:space="preserve">Cena kontraktu</t>
  </si>
  <si>
    <t xml:space="preserve">Cena za MP</t>
  </si>
  <si>
    <t xml:space="preserve">Tygodnie (Kraków: dni)</t>
  </si>
  <si>
    <t xml:space="preserve">Hotel + diety</t>
  </si>
  <si>
    <t xml:space="preserve">Zielone = najtańsza liczba osób</t>
  </si>
  <si>
    <t xml:space="preserve">Zestawienie do oferty</t>
  </si>
  <si>
    <t xml:space="preserve">Urządzenia</t>
  </si>
  <si>
    <t xml:space="preserve">Zagłębienia niestandardowe</t>
  </si>
  <si>
    <t xml:space="preserve">Wymiary niestandardowe</t>
  </si>
  <si>
    <t xml:space="preserve">Magistrala EXTRA / barierki / maskownice</t>
  </si>
  <si>
    <t xml:space="preserve">Utrudnienia [osobodni]</t>
  </si>
  <si>
    <t xml:space="preserve">Km pomiary / montaż</t>
  </si>
  <si>
    <t xml:space="preserve">Transport</t>
  </si>
  <si>
    <t xml:space="preserve">Ekipa</t>
  </si>
  <si>
    <t xml:space="preserve">Dźwig</t>
  </si>
  <si>
    <t xml:space="preserve">Czas montażu (bez słupków)</t>
  </si>
  <si>
    <t xml:space="preserve">Czas montażu (ze słupkami)</t>
  </si>
  <si>
    <t xml:space="preserve">Zysk / cena minimalna przy</t>
  </si>
  <si>
    <t xml:space="preserve">Dopłata Q=2500</t>
  </si>
  <si>
    <t xml:space="preserve">Konserwacja roczna (40 / 45 / 50 zł/MP/mies.)</t>
  </si>
  <si>
    <t xml:space="preserve">Opis / wariant</t>
  </si>
  <si>
    <t xml:space="preserve">Kontrola danych:</t>
  </si>
  <si>
    <t xml:space="preserve">Uwagi do sprawdzenia</t>
  </si>
  <si>
    <t xml:space="preserve">• Hotel liczony jako (dni pracy + 1) x osoby - do sprawdzenia (może zapas na przyjazd na odbiór).</t>
  </si>
  <si>
    <t xml:space="preserve">• Podatek 14% od robocizny, diet, GDW i zysku = wartość efektywna; 'koszt ludzki' w starym arkuszu używał x1,19 - do sprawdzenia.</t>
  </si>
  <si>
    <t xml:space="preserve">• Systemy N.P. liczone jak D (siłowniki, składowe, dźwig, 7 osobodni), cena 85% D, 2 MP - do potwierdzenia.</t>
  </si>
  <si>
    <t xml:space="preserve">• Czas podróży: wzór 'Stary (poprawiony)' = stary dla &lt; 800 km, dla &gt;= 800 km uwzględnia liczbę wyjazdów. 'Uproszczony' = 2 x km / 650 km dziennie na wyjazd.</t>
  </si>
  <si>
    <t xml:space="preserve">• Cena minimalna liczona z dźwigiem 2000 zł/dzień (jak w starej kolumnie N).</t>
  </si>
  <si>
    <t xml:space="preserve">CENNIK I STAŁE KALKULACYJNE NK38</t>
  </si>
  <si>
    <t xml:space="preserve">Zmiana ceny tutaj działa we wszystkich formułach. Kolumna E = skąd wartość pochodzi w starym arkuszu.</t>
  </si>
  <si>
    <t xml:space="preserve">Platformy</t>
  </si>
  <si>
    <t xml:space="preserve">Platforma podwójna NK38-500-170-530 (4 MP)</t>
  </si>
  <si>
    <t xml:space="preserve">NK38!E32</t>
  </si>
  <si>
    <t xml:space="preserve">Dopłata za NK37 / system</t>
  </si>
  <si>
    <t xml:space="preserve">NK38!F1</t>
  </si>
  <si>
    <t xml:space="preserve">Cena S jako ułamek ceny D</t>
  </si>
  <si>
    <t xml:space="preserve">NK38!F3</t>
  </si>
  <si>
    <t xml:space="preserve">Cena systemu N.P. jako ułamek ceny D</t>
  </si>
  <si>
    <t xml:space="preserve">NK38!E27</t>
  </si>
  <si>
    <t xml:space="preserve">Szerokość S 260 cm</t>
  </si>
  <si>
    <t xml:space="preserve">NK38!E8</t>
  </si>
  <si>
    <t xml:space="preserve">Szerokość S 270 cm</t>
  </si>
  <si>
    <t xml:space="preserve">NK38!E9</t>
  </si>
  <si>
    <t xml:space="preserve">Szerokość D 520 cm</t>
  </si>
  <si>
    <t xml:space="preserve">NK38!E34</t>
  </si>
  <si>
    <t xml:space="preserve">Szerokość D 540 cm</t>
  </si>
  <si>
    <t xml:space="preserve">NK38!E35</t>
  </si>
  <si>
    <t xml:space="preserve">NK38!E21/E47</t>
  </si>
  <si>
    <t xml:space="preserve">Dopłata za 1 cm długości (ułamek ceny platformy)</t>
  </si>
  <si>
    <t xml:space="preserve">NK38!E22 (4 kg/cm z 3150 kg)</t>
  </si>
  <si>
    <t xml:space="preserve">Dopłata Q=2500 kg (domyślna)</t>
  </si>
  <si>
    <t xml:space="preserve">NK38!D90</t>
  </si>
  <si>
    <t xml:space="preserve">Hydraulika</t>
  </si>
  <si>
    <t xml:space="preserve">Agregat 11,5 l/min (do 6 platform)</t>
  </si>
  <si>
    <t xml:space="preserve">NK38!E56</t>
  </si>
  <si>
    <t xml:space="preserve">Olej 150 l / agregat</t>
  </si>
  <si>
    <t xml:space="preserve">NK38!D134</t>
  </si>
  <si>
    <t xml:space="preserve">Elementy drobne / agregat</t>
  </si>
  <si>
    <t xml:space="preserve">NK38!D135</t>
  </si>
  <si>
    <t xml:space="preserve">Transport agregatu</t>
  </si>
  <si>
    <t xml:space="preserve">NK38!F57</t>
  </si>
  <si>
    <t xml:space="preserve">Transport siłowników / platformę</t>
  </si>
  <si>
    <t xml:space="preserve">Siłownik standard (zagł. 170)</t>
  </si>
  <si>
    <t xml:space="preserve">NK38!D130</t>
  </si>
  <si>
    <t xml:space="preserve">Siłownik do zagł. 2000 (też 175 cm)</t>
  </si>
  <si>
    <t xml:space="preserve">NK38!D129</t>
  </si>
  <si>
    <t xml:space="preserve">Siłownik do zagł. 2250</t>
  </si>
  <si>
    <t xml:space="preserve">NK38!D128</t>
  </si>
  <si>
    <t xml:space="preserve">Magistrala EXTRA / 6 m</t>
  </si>
  <si>
    <t xml:space="preserve">NK38!D133</t>
  </si>
  <si>
    <t xml:space="preserve">Barierki, elektryka, administracja</t>
  </si>
  <si>
    <t xml:space="preserve">Barierka na stronę (Metazet 538 zł)</t>
  </si>
  <si>
    <t xml:space="preserve">NK38!E66</t>
  </si>
  <si>
    <t xml:space="preserve">Maskownica / bariera tylna (Metazet 608 zł)</t>
  </si>
  <si>
    <t xml:space="preserve">NK38!E67</t>
  </si>
  <si>
    <t xml:space="preserve">Elektryka - skrzynka zasilająca / agregat</t>
  </si>
  <si>
    <t xml:space="preserve">NK38!D121</t>
  </si>
  <si>
    <t xml:space="preserve">Administracja, koszty biura / agregat</t>
  </si>
  <si>
    <t xml:space="preserve">NK38!D125</t>
  </si>
  <si>
    <t xml:space="preserve">Opcje oferty</t>
  </si>
  <si>
    <t xml:space="preserve">Malowanie proszkowe RAL - system S</t>
  </si>
  <si>
    <t xml:space="preserve">NK38!E92</t>
  </si>
  <si>
    <t xml:space="preserve">Malowanie proszkowe RAL - system D / NP</t>
  </si>
  <si>
    <t xml:space="preserve">NK38!E93</t>
  </si>
  <si>
    <t xml:space="preserve">Malowanie barierki na stronę</t>
  </si>
  <si>
    <t xml:space="preserve">NK38!E94</t>
  </si>
  <si>
    <t xml:space="preserve">Słupek e-ładowarki do 3,7 kW / MP</t>
  </si>
  <si>
    <t xml:space="preserve">NK38!E97, KAL!O55</t>
  </si>
  <si>
    <t xml:space="preserve">Słupek e-ładowarki do 22 kW / MP</t>
  </si>
  <si>
    <t xml:space="preserve">NK38!E98</t>
  </si>
  <si>
    <t xml:space="preserve">Robocizna słupka (roboczodni / MP)</t>
  </si>
  <si>
    <t xml:space="preserve">KAL!B49</t>
  </si>
  <si>
    <t xml:space="preserve">Montaż - pracochłonność</t>
  </si>
  <si>
    <t xml:space="preserve">Osobodni montażu / system S</t>
  </si>
  <si>
    <t xml:space="preserve">KAL!F16</t>
  </si>
  <si>
    <t xml:space="preserve">Osobodni montażu / system D</t>
  </si>
  <si>
    <t xml:space="preserve">Osobodni montażu / system NP</t>
  </si>
  <si>
    <t xml:space="preserve">KAL!F17</t>
  </si>
  <si>
    <t xml:space="preserve">Utrudnienia: osobodni / magistrala 6 m</t>
  </si>
  <si>
    <t xml:space="preserve">KAL!B48 ('tonaż')</t>
  </si>
  <si>
    <t xml:space="preserve">Utrudnienia: osobodni / barierka lub maskownica</t>
  </si>
  <si>
    <t xml:space="preserve">Dni rozładunku / TIR</t>
  </si>
  <si>
    <t xml:space="preserve">KAL!E55 (komentarz)</t>
  </si>
  <si>
    <t xml:space="preserve">Spider Crane / dzień</t>
  </si>
  <si>
    <t xml:space="preserve">KAL!I25</t>
  </si>
  <si>
    <t xml:space="preserve">Spider Crane / dzień - cena minimalna</t>
  </si>
  <si>
    <t xml:space="preserve">KAL!M25</t>
  </si>
  <si>
    <t xml:space="preserve">Systemów D (i NP) na 1 dzień dźwigu</t>
  </si>
  <si>
    <t xml:space="preserve">KAL!J25</t>
  </si>
  <si>
    <t xml:space="preserve">Współczynnik S względem D (dźwig)</t>
  </si>
  <si>
    <t xml:space="preserve">Dni montażu w tygodniu (wyjazd co tydzień)</t>
  </si>
  <si>
    <t xml:space="preserve">B55 = J39/5</t>
  </si>
  <si>
    <t xml:space="preserve">Montaż - dojazdy</t>
  </si>
  <si>
    <t xml:space="preserve">Montaż: km dodane do odległości (nocleg, sklep)</t>
  </si>
  <si>
    <t xml:space="preserve">WAW: 280 -&gt; 330</t>
  </si>
  <si>
    <t xml:space="preserve">Kraków: km na pomiary i montaż</t>
  </si>
  <si>
    <t xml:space="preserve">KRK: 20 / 20</t>
  </si>
  <si>
    <t xml:space="preserve">Wzór uproszczony: km dziennie</t>
  </si>
  <si>
    <t xml:space="preserve">propozycja</t>
  </si>
  <si>
    <t xml:space="preserve">Spalanie auta ekipy l/100 km (1 auto)</t>
  </si>
  <si>
    <t xml:space="preserve">KAL!I19</t>
  </si>
  <si>
    <t xml:space="preserve">Cena paliwa zł/l</t>
  </si>
  <si>
    <t xml:space="preserve">Pomiary - liczba osób (1 wyjazd)</t>
  </si>
  <si>
    <t xml:space="preserve">KAL!F53</t>
  </si>
  <si>
    <t xml:space="preserve">Odbiory - liczba osób (1 wyjazd)</t>
  </si>
  <si>
    <t xml:space="preserve">KAL!F58</t>
  </si>
  <si>
    <t xml:space="preserve">Montaż - koszty ekipy</t>
  </si>
  <si>
    <t xml:space="preserve">Stawka dzienna - 1. osoba</t>
  </si>
  <si>
    <t xml:space="preserve">KAL!I47</t>
  </si>
  <si>
    <t xml:space="preserve">Stawka dzienna - 2. osoba</t>
  </si>
  <si>
    <t xml:space="preserve">KAL!I48</t>
  </si>
  <si>
    <t xml:space="preserve">Stawka dzienna - każda kolejna osoba</t>
  </si>
  <si>
    <t xml:space="preserve">KAL!I49:I53</t>
  </si>
  <si>
    <t xml:space="preserve">Dieta dzienna (za granicą 49 €)</t>
  </si>
  <si>
    <t xml:space="preserve">KAL!J57</t>
  </si>
  <si>
    <t xml:space="preserve">Hotel / doba / osoba</t>
  </si>
  <si>
    <t xml:space="preserve">KAL!J58</t>
  </si>
  <si>
    <t xml:space="preserve">Narzuty</t>
  </si>
  <si>
    <t xml:space="preserve">KOB (udział w cenie)</t>
  </si>
  <si>
    <t xml:space="preserve">KAL!J35</t>
  </si>
  <si>
    <t xml:space="preserve">GDW (udział w cenie)</t>
  </si>
  <si>
    <t xml:space="preserve">KAL!J36</t>
  </si>
  <si>
    <t xml:space="preserve">Podatek efektywny od robocizny, diet, GDW i zysku</t>
  </si>
  <si>
    <t xml:space="preserve">KAL!J37</t>
  </si>
  <si>
    <t xml:space="preserve">Serwis (informacyjnie)</t>
  </si>
  <si>
    <t xml:space="preserve">Konserwacja zł / MP / miesiąc (wariant 1)</t>
  </si>
  <si>
    <t xml:space="preserve">KAL!I45</t>
  </si>
  <si>
    <t xml:space="preserve">Konserwacja zł / MP / miesiąc (wariant 2)</t>
  </si>
  <si>
    <t xml:space="preserve">KAL!L45</t>
  </si>
  <si>
    <t xml:space="preserve">Konserwacja zł / MP / miesiąc (wariant 3)</t>
  </si>
  <si>
    <t xml:space="preserve">KAL!N45</t>
  </si>
  <si>
    <t xml:space="preserve">Zagłębienia (standard 170 cm: bez dopłaty, siłownik 1700)</t>
  </si>
  <si>
    <t xml:space="preserve">Zagłębienie [cm]</t>
  </si>
  <si>
    <t xml:space="preserve">Dopłata</t>
  </si>
  <si>
    <t xml:space="preserve">Siłownik</t>
  </si>
  <si>
    <t xml:space="preserve">Składowe platformy (na 1 platformę; N.P. liczone jak D)</t>
  </si>
  <si>
    <t xml:space="preserve">Pozycja</t>
  </si>
  <si>
    <t xml:space="preserve">Cena jedn.</t>
  </si>
  <si>
    <t xml:space="preserve">Ilość na S</t>
  </si>
  <si>
    <t xml:space="preserve">Ilość na D</t>
  </si>
  <si>
    <t xml:space="preserve">Grupa</t>
  </si>
  <si>
    <t xml:space="preserve">Łańcuch 20B-1 (mb)</t>
  </si>
  <si>
    <t xml:space="preserve">Mechanika</t>
  </si>
  <si>
    <t xml:space="preserve">Ogniwo złączne proste 20B-1</t>
  </si>
  <si>
    <t xml:space="preserve">Koło łańcuchowe z piastą 20B-1 Z10</t>
  </si>
  <si>
    <t xml:space="preserve">Koło łańcuchowe z piastą 20B-1 Z16</t>
  </si>
  <si>
    <t xml:space="preserve">Listwa zębata M4</t>
  </si>
  <si>
    <t xml:space="preserve">Koło zębate z piastą M4 Z20</t>
  </si>
  <si>
    <t xml:space="preserve">Tuleja PAF40x260P10</t>
  </si>
  <si>
    <t xml:space="preserve">Tuleja PAF 5025 P10</t>
  </si>
  <si>
    <t xml:space="preserve">Tuleja TBR40x44x50</t>
  </si>
  <si>
    <t xml:space="preserve">Podkładka PTFE 50,5x69x2</t>
  </si>
  <si>
    <t xml:space="preserve">Podkładka PTFE 42x66x1,5</t>
  </si>
  <si>
    <t xml:space="preserve">Tuleja PAF40x400P10</t>
  </si>
  <si>
    <t xml:space="preserve">Podkładki gumowe pod stopę siłownika i słup (kpl)</t>
  </si>
  <si>
    <t xml:space="preserve">Śruby i elementy złączne - kpl S</t>
  </si>
  <si>
    <t xml:space="preserve">Śruby i elementy złączne - kpl D</t>
  </si>
  <si>
    <t xml:space="preserve">Tulejki podłogi</t>
  </si>
  <si>
    <t xml:space="preserve">Kotwa M16 + ampułka</t>
  </si>
  <si>
    <t xml:space="preserve">Podkładki gumowe pod kotwy (kpl)</t>
  </si>
  <si>
    <t xml:space="preserve">Transport materiałów (bez MTZ)</t>
  </si>
  <si>
    <t xml:space="preserve">Ogranicznik koła</t>
  </si>
  <si>
    <t xml:space="preserve">Rurki gotowe na platformie - S</t>
  </si>
  <si>
    <t xml:space="preserve">Rurki gotowe na platformie - D</t>
  </si>
  <si>
    <t xml:space="preserve">Elementy złączne Argo Hytos + magistrala 5 mb + wąż</t>
  </si>
  <si>
    <t xml:space="preserve">Elektryka - skrzynka krosowa</t>
  </si>
  <si>
    <t xml:space="preserve">Elektryka</t>
  </si>
  <si>
    <t xml:space="preserve">Elektryka - przewody + rurki S</t>
  </si>
  <si>
    <t xml:space="preserve">Elektryka - przewody + rurki D</t>
  </si>
  <si>
    <t xml:space="preserve">Elektryka - sterownia (puszka+stac+przyc+notaus+szyld)</t>
  </si>
  <si>
    <t xml:space="preserve">OBLICZENIA (nie edytować)</t>
  </si>
  <si>
    <t xml:space="preserve">A. Materiały i urządzenia (dawny arkusz 'NK38 ...')</t>
  </si>
  <si>
    <t xml:space="preserve">Cena platformy D</t>
  </si>
  <si>
    <t xml:space="preserve">Cena platformy S</t>
  </si>
  <si>
    <t xml:space="preserve">Cena systemu N.P.</t>
  </si>
  <si>
    <t xml:space="preserve">Platformy D + N.P. (N.P. jak D)</t>
  </si>
  <si>
    <t xml:space="preserve">Razem platform</t>
  </si>
  <si>
    <t xml:space="preserve">Miejsca postojowe</t>
  </si>
  <si>
    <t xml:space="preserve">Platformy S z dopłatami</t>
  </si>
  <si>
    <t xml:space="preserve">Platformy D z dopłatami</t>
  </si>
  <si>
    <t xml:space="preserve">Platformy N.P.</t>
  </si>
  <si>
    <t xml:space="preserve">Siłowniki 2000 [pary]</t>
  </si>
  <si>
    <t xml:space="preserve">Siłowniki 2250 [pary]</t>
  </si>
  <si>
    <t xml:space="preserve">Siłowniki standard [pary] (z N.P.)</t>
  </si>
  <si>
    <t xml:space="preserve">Barierki i maskownice</t>
  </si>
  <si>
    <t xml:space="preserve">Mechanika zakupowa i pozostałe</t>
  </si>
  <si>
    <t xml:space="preserve">SUMA STANDARD Q=2000 (dawne F87)</t>
  </si>
  <si>
    <t xml:space="preserve">SUMA Q=2500 (dawne F90)</t>
  </si>
  <si>
    <t xml:space="preserve">Opcja: malowanie proszkowe RAL (koszt)</t>
  </si>
  <si>
    <t xml:space="preserve">Utrudnienia z magistrali i barierek [osobodni]</t>
  </si>
  <si>
    <t xml:space="preserve">Utrudnienia razem [osobodni] (dawny 'tonaż')</t>
  </si>
  <si>
    <t xml:space="preserve">B. Parametry montażu wspólne dla wariantów</t>
  </si>
  <si>
    <t xml:space="preserve">Kraków?</t>
  </si>
  <si>
    <t xml:space="preserve">Km na pomiary / odbiory</t>
  </si>
  <si>
    <t xml:space="preserve">Km na montaż</t>
  </si>
  <si>
    <t xml:space="preserve">Dni rozładunku</t>
  </si>
  <si>
    <t xml:space="preserve">Podróże pomiary + odbiory [osobodni]</t>
  </si>
  <si>
    <t xml:space="preserve">Dni dźwigu</t>
  </si>
  <si>
    <t xml:space="preserve">Mnożnik kosztu materiałowego na cenę (opcje)</t>
  </si>
  <si>
    <t xml:space="preserve">C. Montaż i cena (dawny arkusz '&lt;Inwestycja&gt;-NK38')</t>
  </si>
  <si>
    <t xml:space="preserve">Analiza liczby osób (wariant z Dane)</t>
  </si>
  <si>
    <t xml:space="preserve">Wariant / liczba osób</t>
  </si>
  <si>
    <t xml:space="preserve">Q=2500? (1/0)</t>
  </si>
  <si>
    <t xml:space="preserve">Słupki e-ładowarek? (1/0)</t>
  </si>
  <si>
    <t xml:space="preserve">Średnia stawka dzienna</t>
  </si>
  <si>
    <t xml:space="preserve">Osobodni montażu (dawne F50)</t>
  </si>
  <si>
    <t xml:space="preserve">Iteracja 1: tygodnie / dni montażu</t>
  </si>
  <si>
    <t xml:space="preserve">Iteracja 2: tygodnie / dni montażu</t>
  </si>
  <si>
    <t xml:space="preserve">Iteracja 3: tygodnie / dni montażu</t>
  </si>
  <si>
    <t xml:space="preserve">Iteracja 4: tygodnie / dni montażu</t>
  </si>
  <si>
    <t xml:space="preserve">Iteracja 5: tygodnie / dni montażu</t>
  </si>
  <si>
    <t xml:space="preserve">Tygodnie (Kraków: dni) montażu (dawne B55)</t>
  </si>
  <si>
    <t xml:space="preserve">Osobodni podróży i rozładunku (dawne G59)</t>
  </si>
  <si>
    <t xml:space="preserve">Dni pracy ekipy (dawne J39)</t>
  </si>
  <si>
    <t xml:space="preserve">Kilometry razem (1 auto ekipy)</t>
  </si>
  <si>
    <t xml:space="preserve">Paliwo</t>
  </si>
  <si>
    <t xml:space="preserve">Hotel</t>
  </si>
  <si>
    <t xml:space="preserve">Transport TIR</t>
  </si>
  <si>
    <t xml:space="preserve">Spider Crane</t>
  </si>
  <si>
    <t xml:space="preserve">Rozładunek (sprzęt)</t>
  </si>
  <si>
    <t xml:space="preserve">Rozładunek (ludzie)</t>
  </si>
  <si>
    <t xml:space="preserve">Dojazdy (ludzie)</t>
  </si>
  <si>
    <t xml:space="preserve">Montaż</t>
  </si>
  <si>
    <t xml:space="preserve">Diety</t>
  </si>
  <si>
    <t xml:space="preserve">Suma kosztów przed narzutami</t>
  </si>
  <si>
    <t xml:space="preserve">Podstawa narzutów</t>
  </si>
  <si>
    <t xml:space="preserve">KOB</t>
  </si>
  <si>
    <t xml:space="preserve">GDW</t>
  </si>
  <si>
    <t xml:space="preserve">Podatek</t>
  </si>
  <si>
    <t xml:space="preserve">CENA KONTRAKTU NETTO (dawne K39)</t>
  </si>
  <si>
    <t xml:space="preserve">Koszt rzeczywisty (dawne K43)</t>
  </si>
  <si>
    <t xml:space="preserve">Cena minimalna: podstawa narzutów</t>
  </si>
  <si>
    <t xml:space="preserve">CENA MINIMALNA (zysk do sprawdzenia, dźwig 2000)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</si>
</sst>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yyyy\-mm\-dd"/>
    <numFmt numFmtId="166" formatCode="#,##0.##"/>
    <numFmt numFmtId="167" formatCode="0"/>
    <numFmt numFmtId="168" formatCode="General"/>
    <numFmt numFmtId="169" formatCode="#,##0&quot; zł&quot;"/>
    <numFmt numFmtId="170" formatCode="0.0%"/>
    <numFmt numFmtId="171" formatCode="0.0000"/>
    <numFmt numFmtId="172" formatCode="#,##0&quot; €&quot;"/>
    <numFmt numFmtId="173" formatCode="0.00000"/>
    <numFmt numFmtId="174" formatCode="#,##0.00&quot; zł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11"/>
      <color rgb="FF7F7F7F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7F7F7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24"/>
  </cols>
  <sheetData>
    <row r="2" customFormat="false" ht="24" hidden="false" customHeight="true" outlineLevel="0" collapsed="false">
      <c r="B2" s="1" t="s">
        <v>0</v>
      </c>
      <c r="C2" s="2"/>
      <c r="D2" s="2"/>
      <c r="E2" s="2"/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5"/>
      <c r="D5" s="5"/>
      <c r="E5" s="5"/>
    </row>
    <row r="6" customFormat="false" ht="15" hidden="false" customHeight="false" outlineLevel="0" collapsed="false">
      <c r="B6" s="0" t="s">
        <v>3</v>
      </c>
      <c r="C6" s="6" t="s">
        <v>4</v>
      </c>
    </row>
    <row r="7" customFormat="false" ht="15" hidden="false" customHeight="false" outlineLevel="0" collapsed="false">
      <c r="B7" s="0" t="s">
        <v>5</v>
      </c>
      <c r="C7" s="7"/>
    </row>
    <row r="8" customFormat="false" ht="15" hidden="false" customHeight="false" outlineLevel="0" collapsed="false">
      <c r="B8" s="0" t="s">
        <v>6</v>
      </c>
      <c r="C8" s="6" t="s">
        <v>7</v>
      </c>
    </row>
    <row r="9" customFormat="false" ht="15" hidden="false" customHeight="false" outlineLevel="0" collapsed="false">
      <c r="B9" s="0" t="s">
        <v>8</v>
      </c>
      <c r="C9" s="6"/>
    </row>
    <row r="11" customFormat="false" ht="15" hidden="false" customHeight="false" outlineLevel="0" collapsed="false">
      <c r="B11" s="4" t="s">
        <v>9</v>
      </c>
      <c r="C11" s="5"/>
      <c r="D11" s="5"/>
      <c r="E11" s="5"/>
    </row>
    <row r="12" customFormat="false" ht="15" hidden="false" customHeight="false" outlineLevel="0" collapsed="false">
      <c r="B12" s="0" t="s">
        <v>10</v>
      </c>
      <c r="C12" s="6" t="s">
        <v>11</v>
      </c>
      <c r="E12" s="8" t="s">
        <v>12</v>
      </c>
    </row>
    <row r="13" customFormat="false" ht="15" hidden="false" customHeight="false" outlineLevel="0" collapsed="false">
      <c r="B13" s="0" t="s">
        <v>13</v>
      </c>
      <c r="C13" s="9" t="n">
        <v>0</v>
      </c>
      <c r="E13" s="8" t="s">
        <v>14</v>
      </c>
    </row>
    <row r="14" customFormat="false" ht="15" hidden="false" customHeight="false" outlineLevel="0" collapsed="false">
      <c r="B14" s="0" t="s">
        <v>15</v>
      </c>
      <c r="C14" s="9"/>
      <c r="E14" s="8" t="s">
        <v>16</v>
      </c>
    </row>
    <row r="15" customFormat="false" ht="15" hidden="false" customHeight="false" outlineLevel="0" collapsed="false">
      <c r="B15" s="0" t="s">
        <v>17</v>
      </c>
      <c r="C15" s="9"/>
      <c r="E15" s="8" t="s">
        <v>16</v>
      </c>
    </row>
    <row r="17" customFormat="false" ht="15" hidden="false" customHeight="false" outlineLevel="0" collapsed="false">
      <c r="B17" s="4" t="s">
        <v>18</v>
      </c>
      <c r="C17" s="5"/>
      <c r="D17" s="5"/>
      <c r="E17" s="5"/>
    </row>
    <row r="18" customFormat="false" ht="15" hidden="false" customHeight="false" outlineLevel="0" collapsed="false">
      <c r="B18" s="0" t="s">
        <v>19</v>
      </c>
      <c r="C18" s="6" t="s">
        <v>20</v>
      </c>
    </row>
    <row r="19" customFormat="false" ht="15" hidden="false" customHeight="false" outlineLevel="0" collapsed="false">
      <c r="B19" s="0" t="s">
        <v>21</v>
      </c>
      <c r="C19" s="10" t="n">
        <v>0</v>
      </c>
    </row>
    <row r="20" customFormat="false" ht="15" hidden="false" customHeight="false" outlineLevel="0" collapsed="false">
      <c r="B20" s="0" t="s">
        <v>22</v>
      </c>
      <c r="C20" s="10" t="n">
        <v>0</v>
      </c>
    </row>
    <row r="21" customFormat="false" ht="15" hidden="false" customHeight="false" outlineLevel="0" collapsed="false">
      <c r="B21" s="0" t="s">
        <v>23</v>
      </c>
      <c r="C21" s="10" t="n">
        <v>0</v>
      </c>
    </row>
    <row r="22" customFormat="false" ht="15" hidden="false" customHeight="false" outlineLevel="0" collapsed="false">
      <c r="B22" s="0" t="s">
        <v>24</v>
      </c>
      <c r="C22" s="10" t="n">
        <v>0</v>
      </c>
      <c r="E22" s="8" t="s">
        <v>25</v>
      </c>
    </row>
    <row r="23" customFormat="false" ht="15" hidden="false" customHeight="false" outlineLevel="0" collapsed="false">
      <c r="B23" s="0" t="s">
        <v>26</v>
      </c>
      <c r="C23" s="10" t="n">
        <v>0</v>
      </c>
    </row>
    <row r="24" customFormat="false" ht="15" hidden="false" customHeight="false" outlineLevel="0" collapsed="false">
      <c r="B24" s="0" t="s">
        <v>27</v>
      </c>
      <c r="C24" s="10" t="n">
        <v>0</v>
      </c>
    </row>
    <row r="25" customFormat="false" ht="15" hidden="false" customHeight="false" outlineLevel="0" collapsed="false">
      <c r="B25" s="0" t="s">
        <v>28</v>
      </c>
      <c r="C25" s="10" t="n">
        <v>0</v>
      </c>
    </row>
    <row r="26" customFormat="false" ht="15" hidden="false" customHeight="false" outlineLevel="0" collapsed="false">
      <c r="B26" s="0" t="s">
        <v>29</v>
      </c>
      <c r="C26" s="9" t="n">
        <v>0</v>
      </c>
      <c r="E26" s="8" t="s">
        <v>30</v>
      </c>
    </row>
    <row r="28" customFormat="false" ht="15" hidden="false" customHeight="false" outlineLevel="0" collapsed="false">
      <c r="B28" s="4" t="s">
        <v>31</v>
      </c>
      <c r="C28" s="5"/>
      <c r="D28" s="5"/>
      <c r="E28" s="5"/>
    </row>
    <row r="29" customFormat="false" ht="15" hidden="false" customHeight="false" outlineLevel="0" collapsed="false">
      <c r="C29" s="11" t="s">
        <v>32</v>
      </c>
      <c r="D29" s="11" t="s">
        <v>33</v>
      </c>
      <c r="E29" s="8" t="s">
        <v>34</v>
      </c>
      <c r="F29" s="8" t="s">
        <v>35</v>
      </c>
    </row>
    <row r="30" customFormat="false" ht="15" hidden="false" customHeight="false" outlineLevel="0" collapsed="false">
      <c r="B30" s="0" t="s">
        <v>36</v>
      </c>
      <c r="C30" s="10" t="n">
        <v>0</v>
      </c>
      <c r="D30" s="10" t="n">
        <v>0</v>
      </c>
      <c r="F30" s="8" t="str">
        <f aca="false">IF(C30+D30&gt;0,"; 175 cm: "&amp;IF(C30&gt;0,C30&amp;"S","")&amp;IF(AND(C30&gt;0,D30&gt;0),"+","")&amp;IF(D30&gt;0,D30&amp;"D",""),"")</f>
        <v/>
      </c>
    </row>
    <row r="31" customFormat="false" ht="15" hidden="false" customHeight="false" outlineLevel="0" collapsed="false">
      <c r="B31" s="0" t="s">
        <v>37</v>
      </c>
      <c r="C31" s="10" t="n">
        <v>0</v>
      </c>
      <c r="D31" s="10" t="n">
        <v>0</v>
      </c>
      <c r="F31" s="8" t="str">
        <f aca="false">IF(C31+D31&gt;0,"; 180 cm: "&amp;IF(C31&gt;0,C31&amp;"S","")&amp;IF(AND(C31&gt;0,D31&gt;0),"+","")&amp;IF(D31&gt;0,D31&amp;"D",""),"")</f>
        <v/>
      </c>
    </row>
    <row r="32" customFormat="false" ht="15" hidden="false" customHeight="false" outlineLevel="0" collapsed="false">
      <c r="B32" s="0" t="s">
        <v>38</v>
      </c>
      <c r="C32" s="10" t="n">
        <v>0</v>
      </c>
      <c r="D32" s="10" t="n">
        <v>0</v>
      </c>
      <c r="F32" s="8" t="str">
        <f aca="false">IF(C32+D32&gt;0,"; 185 cm: "&amp;IF(C32&gt;0,C32&amp;"S","")&amp;IF(AND(C32&gt;0,D32&gt;0),"+","")&amp;IF(D32&gt;0,D32&amp;"D",""),"")</f>
        <v/>
      </c>
    </row>
    <row r="33" customFormat="false" ht="15" hidden="false" customHeight="false" outlineLevel="0" collapsed="false">
      <c r="B33" s="0" t="s">
        <v>39</v>
      </c>
      <c r="C33" s="10" t="n">
        <v>0</v>
      </c>
      <c r="D33" s="10" t="n">
        <v>0</v>
      </c>
      <c r="F33" s="8" t="str">
        <f aca="false">IF(C33+D33&gt;0,"; 190 cm: "&amp;IF(C33&gt;0,C33&amp;"S","")&amp;IF(AND(C33&gt;0,D33&gt;0),"+","")&amp;IF(D33&gt;0,D33&amp;"D",""),"")</f>
        <v/>
      </c>
    </row>
    <row r="34" customFormat="false" ht="15" hidden="false" customHeight="false" outlineLevel="0" collapsed="false">
      <c r="B34" s="0" t="s">
        <v>40</v>
      </c>
      <c r="C34" s="10" t="n">
        <v>0</v>
      </c>
      <c r="D34" s="10" t="n">
        <v>0</v>
      </c>
      <c r="F34" s="8" t="str">
        <f aca="false">IF(C34+D34&gt;0,"; 195 cm: "&amp;IF(C34&gt;0,C34&amp;"S","")&amp;IF(AND(C34&gt;0,D34&gt;0),"+","")&amp;IF(D34&gt;0,D34&amp;"D",""),"")</f>
        <v/>
      </c>
    </row>
    <row r="35" customFormat="false" ht="15" hidden="false" customHeight="false" outlineLevel="0" collapsed="false">
      <c r="B35" s="0" t="s">
        <v>41</v>
      </c>
      <c r="C35" s="10" t="n">
        <v>0</v>
      </c>
      <c r="D35" s="10" t="n">
        <v>0</v>
      </c>
      <c r="F35" s="8" t="str">
        <f aca="false">IF(C35+D35&gt;0,"; 200 cm: "&amp;IF(C35&gt;0,C35&amp;"S","")&amp;IF(AND(C35&gt;0,D35&gt;0),"+","")&amp;IF(D35&gt;0,D35&amp;"D",""),"")</f>
        <v/>
      </c>
    </row>
    <row r="36" customFormat="false" ht="15" hidden="false" customHeight="false" outlineLevel="0" collapsed="false">
      <c r="B36" s="0" t="s">
        <v>42</v>
      </c>
      <c r="C36" s="10" t="n">
        <v>0</v>
      </c>
      <c r="D36" s="10" t="n">
        <v>0</v>
      </c>
      <c r="F36" s="8" t="str">
        <f aca="false">IF(C36+D36&gt;0,"; 210 cm: "&amp;IF(C36&gt;0,C36&amp;"S","")&amp;IF(AND(C36&gt;0,D36&gt;0),"+","")&amp;IF(D36&gt;0,D36&amp;"D",""),"")</f>
        <v/>
      </c>
    </row>
    <row r="37" customFormat="false" ht="15" hidden="false" customHeight="false" outlineLevel="0" collapsed="false">
      <c r="B37" s="0" t="s">
        <v>43</v>
      </c>
      <c r="C37" s="10" t="n">
        <v>0</v>
      </c>
      <c r="D37" s="10" t="n">
        <v>0</v>
      </c>
      <c r="F37" s="8" t="str">
        <f aca="false">IF(C37+D37&gt;0,"; 220 cm: "&amp;IF(C37&gt;0,C37&amp;"S","")&amp;IF(AND(C37&gt;0,D37&gt;0),"+","")&amp;IF(D37&gt;0,D37&amp;"D",""),"")</f>
        <v/>
      </c>
    </row>
    <row r="38" customFormat="false" ht="15" hidden="false" customHeight="false" outlineLevel="0" collapsed="false">
      <c r="B38" s="0" t="s">
        <v>44</v>
      </c>
      <c r="C38" s="10" t="n">
        <v>0</v>
      </c>
      <c r="D38" s="10" t="n">
        <v>0</v>
      </c>
      <c r="F38" s="8" t="str">
        <f aca="false">IF(C38+D38&gt;0,"; 225 cm: "&amp;IF(C38&gt;0,C38&amp;"S","")&amp;IF(AND(C38&gt;0,D38&gt;0),"+","")&amp;IF(D38&gt;0,D38&amp;"D",""),"")</f>
        <v/>
      </c>
    </row>
    <row r="39" customFormat="false" ht="15" hidden="false" customHeight="false" outlineLevel="0" collapsed="false">
      <c r="B39" s="0" t="s">
        <v>45</v>
      </c>
      <c r="C39" s="12" t="n">
        <f aca="false">in_S-SUM(in_gl_S)</f>
        <v>0</v>
      </c>
      <c r="D39" s="12" t="n">
        <f aca="false">in_D-SUM(in_gl_D)</f>
        <v>0</v>
      </c>
    </row>
    <row r="40" customFormat="false" ht="15" hidden="false" customHeight="false" outlineLevel="0" collapsed="false">
      <c r="B40" s="0" t="s">
        <v>46</v>
      </c>
      <c r="C40" s="10" t="n">
        <v>0</v>
      </c>
      <c r="D40" s="10" t="n">
        <v>0</v>
      </c>
      <c r="F40" s="8" t="str">
        <f aca="false">IF(C40+D40&gt;0,"; szer. 260 (S) / 520 (D): "&amp;IF(C40&gt;0,C40&amp;"S","")&amp;IF(AND(C40&gt;0,D40&gt;0),"+","")&amp;IF(D40&gt;0,D40&amp;"D",""),"")</f>
        <v/>
      </c>
    </row>
    <row r="41" customFormat="false" ht="15" hidden="false" customHeight="false" outlineLevel="0" collapsed="false">
      <c r="B41" s="0" t="s">
        <v>47</v>
      </c>
      <c r="C41" s="10" t="n">
        <v>0</v>
      </c>
      <c r="D41" s="10" t="n">
        <v>0</v>
      </c>
      <c r="F41" s="8" t="str">
        <f aca="false">IF(C41+D41&gt;0,"; szer. 270 (S) / 540 (D): "&amp;IF(C41&gt;0,C41&amp;"S","")&amp;IF(AND(C41&gt;0,D41&gt;0),"+","")&amp;IF(D41&gt;0,D41&amp;"D",""),"")</f>
        <v/>
      </c>
    </row>
    <row r="42" customFormat="false" ht="15" hidden="false" customHeight="false" outlineLevel="0" collapsed="false">
      <c r="B42" s="0" t="s">
        <v>48</v>
      </c>
      <c r="C42" s="10" t="n">
        <v>0</v>
      </c>
      <c r="D42" s="10" t="n">
        <v>0</v>
      </c>
      <c r="F42" s="8" t="str">
        <f aca="false">IF(C42+D42&gt;0,"; dł. 500-510 cm: "&amp;IF(C42&gt;0,C42&amp;"S","")&amp;IF(AND(C42&gt;0,D42&gt;0),"+","")&amp;IF(D42&gt;0,D42&amp;"D",""),"")</f>
        <v/>
      </c>
    </row>
    <row r="43" customFormat="false" ht="15" hidden="false" customHeight="false" outlineLevel="0" collapsed="false">
      <c r="B43" s="0" t="s">
        <v>49</v>
      </c>
      <c r="C43" s="10" t="n">
        <v>0</v>
      </c>
      <c r="D43" s="10" t="n">
        <v>0</v>
      </c>
      <c r="F43" s="8" t="str">
        <f aca="false">IF(C43+D43&gt;0,"; dł. 540 cm: "&amp;IF(C43&gt;0,C43&amp;"S","")&amp;IF(AND(C43&gt;0,D43&gt;0),"+","")&amp;IF(D43&gt;0,D43&amp;"D",""),"")</f>
        <v/>
      </c>
    </row>
    <row r="44" customFormat="false" ht="15" hidden="false" customHeight="false" outlineLevel="0" collapsed="false">
      <c r="B44" s="0" t="s">
        <v>50</v>
      </c>
      <c r="C44" s="10" t="n">
        <v>0</v>
      </c>
      <c r="D44" s="10" t="n">
        <v>0</v>
      </c>
      <c r="F44" s="8" t="str">
        <f aca="false">IF(C44+D44&gt;0,"; dł. 550 cm: "&amp;IF(C44&gt;0,C44&amp;"S","")&amp;IF(AND(C44&gt;0,D44&gt;0),"+","")&amp;IF(D44&gt;0,D44&amp;"D",""),"")</f>
        <v/>
      </c>
    </row>
    <row r="45" customFormat="false" ht="15" hidden="false" customHeight="false" outlineLevel="0" collapsed="false">
      <c r="F45" s="0" t="str">
        <f aca="false">MID(F30&amp;F31&amp;F32&amp;F33&amp;F34&amp;F35&amp;F36&amp;F37&amp;F38,3,500)</f>
        <v/>
      </c>
    </row>
    <row r="46" customFormat="false" ht="15" hidden="false" customHeight="false" outlineLevel="0" collapsed="false">
      <c r="B46" s="4" t="s">
        <v>51</v>
      </c>
      <c r="C46" s="5"/>
      <c r="D46" s="5"/>
      <c r="E46" s="5"/>
      <c r="F46" s="0" t="str">
        <f aca="false">MID(F40&amp;F41&amp;F42&amp;F43&amp;F44,3,500)</f>
        <v/>
      </c>
    </row>
    <row r="47" customFormat="false" ht="15" hidden="false" customHeight="false" outlineLevel="0" collapsed="false">
      <c r="B47" s="0" t="s">
        <v>52</v>
      </c>
      <c r="C47" s="10" t="n">
        <v>0</v>
      </c>
    </row>
    <row r="48" customFormat="false" ht="15" hidden="false" customHeight="false" outlineLevel="0" collapsed="false">
      <c r="B48" s="0" t="s">
        <v>53</v>
      </c>
      <c r="C48" s="13" t="n">
        <v>0</v>
      </c>
      <c r="E48" s="8" t="s">
        <v>54</v>
      </c>
    </row>
    <row r="49" customFormat="false" ht="15" hidden="false" customHeight="false" outlineLevel="0" collapsed="false">
      <c r="B49" s="0" t="s">
        <v>55</v>
      </c>
      <c r="C49" s="13" t="n">
        <v>0</v>
      </c>
      <c r="E49" s="8" t="s">
        <v>56</v>
      </c>
    </row>
    <row r="50" customFormat="false" ht="15" hidden="false" customHeight="false" outlineLevel="0" collapsed="false">
      <c r="B50" s="0" t="s">
        <v>57</v>
      </c>
      <c r="C50" s="9"/>
      <c r="E50" s="8" t="s">
        <v>58</v>
      </c>
    </row>
    <row r="51" customFormat="false" ht="15" hidden="false" customHeight="false" outlineLevel="0" collapsed="false">
      <c r="B51" s="0" t="s">
        <v>59</v>
      </c>
      <c r="C51" s="10" t="n">
        <v>4</v>
      </c>
      <c r="E51" s="8" t="s">
        <v>60</v>
      </c>
    </row>
    <row r="52" customFormat="false" ht="15" hidden="false" customHeight="false" outlineLevel="0" collapsed="false">
      <c r="B52" s="0" t="s">
        <v>61</v>
      </c>
      <c r="C52" s="10"/>
      <c r="E52" s="8" t="s">
        <v>16</v>
      </c>
    </row>
    <row r="53" customFormat="false" ht="15" hidden="false" customHeight="false" outlineLevel="0" collapsed="false">
      <c r="B53" s="0" t="s">
        <v>62</v>
      </c>
      <c r="C53" s="6" t="s">
        <v>63</v>
      </c>
      <c r="E53" s="8" t="s">
        <v>64</v>
      </c>
    </row>
    <row r="55" customFormat="false" ht="15" hidden="false" customHeight="false" outlineLevel="0" collapsed="false">
      <c r="B55" s="4" t="s">
        <v>65</v>
      </c>
      <c r="C55" s="5"/>
      <c r="D55" s="5"/>
      <c r="E55" s="5"/>
    </row>
    <row r="56" customFormat="false" ht="15" hidden="false" customHeight="false" outlineLevel="0" collapsed="false">
      <c r="B56" s="0" t="s">
        <v>66</v>
      </c>
      <c r="C56" s="14" t="n">
        <v>0.125</v>
      </c>
    </row>
    <row r="57" customFormat="false" ht="15" hidden="false" customHeight="false" outlineLevel="0" collapsed="false">
      <c r="B57" s="0" t="s">
        <v>67</v>
      </c>
      <c r="C57" s="14" t="n">
        <v>0.1</v>
      </c>
    </row>
    <row r="58" customFormat="false" ht="15" hidden="false" customHeight="false" outlineLevel="0" collapsed="false">
      <c r="B58" s="0" t="s">
        <v>68</v>
      </c>
      <c r="C58" s="14" t="n">
        <f aca="false">c_q2500</f>
        <v>0.07</v>
      </c>
      <c r="E58" s="8" t="s">
        <v>69</v>
      </c>
    </row>
    <row r="59" customFormat="false" ht="15" hidden="false" customHeight="false" outlineLevel="0" collapsed="false">
      <c r="B59" s="0" t="s">
        <v>70</v>
      </c>
      <c r="C59" s="15" t="n">
        <v>4.325</v>
      </c>
    </row>
    <row r="60" customFormat="false" ht="15" hidden="false" customHeight="false" outlineLevel="0" collapsed="false">
      <c r="B60" s="0" t="s">
        <v>71</v>
      </c>
      <c r="C60" s="6" t="s">
        <v>72</v>
      </c>
    </row>
    <row r="62" customFormat="false" ht="15" hidden="false" customHeight="false" outlineLevel="0" collapsed="false">
      <c r="B62" s="4" t="s">
        <v>73</v>
      </c>
      <c r="C62" s="5"/>
      <c r="D62" s="5"/>
      <c r="E62" s="5"/>
    </row>
    <row r="63" customFormat="false" ht="15" hidden="false" customHeight="false" outlineLevel="0" collapsed="false">
      <c r="B63" s="16" t="str">
        <f aca="false">IF(OR(C39&lt;0,D39&lt;0),"BŁĄD: więcej zagłębień niż platform","ok")</f>
        <v>ok</v>
      </c>
      <c r="C63" s="16"/>
      <c r="D63" s="16"/>
      <c r="E63" s="16"/>
    </row>
    <row r="64" customFormat="false" ht="15" hidden="false" customHeight="false" outlineLevel="0" collapsed="false">
      <c r="B64" s="16" t="str">
        <f aca="false">IF(OR(in_szer1_S+in_szer2_S&gt;in_S,in_szer1_D+in_szer2_D&gt;in_D),"BŁĄD: więcej szerokości niż platform","ok")</f>
        <v>ok</v>
      </c>
      <c r="C64" s="16"/>
      <c r="D64" s="16"/>
      <c r="E64" s="16"/>
    </row>
    <row r="65" customFormat="false" ht="15" hidden="false" customHeight="false" outlineLevel="0" collapsed="false">
      <c r="B65" s="16" t="str">
        <f aca="false">IF(OR(in_dl500_S+in_dl540_S+in_dl550_S&gt;in_S,in_dl500_D+in_dl540_D+in_dl550_D&gt;in_D),"BŁĄD: więcej długości niż platform","ok")</f>
        <v>ok</v>
      </c>
      <c r="C65" s="16"/>
      <c r="D65" s="16"/>
      <c r="E65" s="16"/>
    </row>
    <row r="66" customFormat="false" ht="15" hidden="false" customHeight="false" outlineLevel="0" collapsed="false">
      <c r="B66" s="16" t="str">
        <f aca="false">IF(in_agregaty*6&lt;in_S+in_D+in_NP,"UWAGA: mniej niż 1 agregat na 6 platform","ok")</f>
        <v>ok</v>
      </c>
      <c r="C66" s="16"/>
      <c r="D66" s="16"/>
      <c r="E66" s="16"/>
    </row>
    <row r="67" customFormat="false" ht="15" hidden="false" customHeight="false" outlineLevel="0" collapsed="false">
      <c r="B67" s="16" t="str">
        <f aca="false">IF(in_S+in_D+in_NP=0,"UWAGA: brak platform",IF(in_tir=0,"UWAGA: brak transportów","ok"))</f>
        <v>UWAGA: brak platform</v>
      </c>
      <c r="C67" s="16"/>
      <c r="D67" s="16"/>
      <c r="E67" s="16"/>
    </row>
    <row r="68" customFormat="false" ht="15" hidden="false" customHeight="false" outlineLevel="0" collapsed="false">
      <c r="B68" s="16" t="str">
        <f aca="false">IF(AND(in_lok="Poza Krakowem",in_km=0),"UWAGA: brak odległości od Krakowa","ok")</f>
        <v>UWAGA: brak odległości od Krakowa</v>
      </c>
      <c r="C68" s="16"/>
      <c r="D68" s="16"/>
      <c r="E68" s="16"/>
    </row>
  </sheetData>
  <mergeCells count="6">
    <mergeCell ref="B63:E63"/>
    <mergeCell ref="B64:E64"/>
    <mergeCell ref="B65:E65"/>
    <mergeCell ref="B66:E66"/>
    <mergeCell ref="B67:E67"/>
    <mergeCell ref="B68:E68"/>
  </mergeCells>
  <conditionalFormatting sqref="B63:B68">
    <cfRule type="expression" priority="2" aboveAverage="0" equalAverage="0" bottom="0" percent="0" rank="0" text="" dxfId="0">
      <formula>B63&lt;&gt;"ok"</formula>
    </cfRule>
  </conditionalFormatting>
  <dataValidations count="6">
    <dataValidation allowBlank="false" errorStyle="stop" operator="between" showDropDown="false" showErrorMessage="false" showInputMessage="false" sqref="C12" type="list">
      <formula1>"Kraków,Poza Krakowem"</formula1>
      <formula2>0</formula2>
    </dataValidation>
    <dataValidation allowBlank="false" errorStyle="stop" operator="between" showDropDown="false" showErrorMessage="false" showInputMessage="false" sqref="C18" type="list">
      <formula1>"NK38,NK37"</formula1>
      <formula2>0</formula2>
    </dataValidation>
    <dataValidation allowBlank="false" errorStyle="stop" operator="between" showDropDown="false" showErrorMessage="false" showInputMessage="false" sqref="C53" type="list">
      <formula1>"Stary (poprawiony),Uproszczony"</formula1>
      <formula2>0</formula2>
    </dataValidation>
    <dataValidation allowBlank="false" errorStyle="stop" operator="between" showDropDown="false" showErrorMessage="false" showInputMessage="false" sqref="C60" type="list">
      <formula1>"2000 kg,2500 kg,2000 kg + słupki,2500 kg + słupki"</formula1>
      <formula2>0</formula2>
    </dataValidation>
    <dataValidation allowBlank="false" errorStyle="stop" operator="greaterThanOrEqual" showDropDown="false" showErrorMessage="false" showInputMessage="false" sqref="C19:C25 C30:D38 C40:D44 C47" type="whole">
      <formula1>0</formula1>
      <formula2>0</formula2>
    </dataValidation>
    <dataValidation allowBlank="false" errorStyle="stop" operator="between" showDropDown="false" showErrorMessage="false" showInputMessage="false" sqref="C51" type="whole">
      <formula1>1</formula1>
      <formula2>12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8" min="3" style="0" width="17"/>
    <col collapsed="false" customWidth="true" hidden="false" outlineLevel="0" max="9" min="9" style="0" width="2"/>
  </cols>
  <sheetData>
    <row r="2" customFormat="false" ht="24" hidden="false" customHeight="true" outlineLevel="0" collapsed="false">
      <c r="B2" s="1" t="s">
        <v>74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11" t="str">
        <f aca="false">in_nazwa&amp;"   |   "&amp;IF(ISBLANK(in_data),"",TEXT(in_data,"yyyy-mm-dd"))&amp;"   |   "&amp;in_nr</f>
        <v>ul. ...   |      |   SNK</v>
      </c>
    </row>
    <row r="4" customFormat="false" ht="15" hidden="false" customHeight="false" outlineLevel="0" collapsed="false">
      <c r="B4" s="0" t="str">
        <f aca="false">in_typ&amp;" "&amp;IF(in_S&gt;0,in_S&amp;"S250","")&amp;IF(AND(in_S&gt;0,in_D&gt;0),"+","")&amp;IF(in_D&gt;0,in_D&amp;"D500","")&amp;IF(in_NP&gt;0,"+"&amp;in_NP&amp;"NP","")&amp;", "&amp;in_agregaty&amp;"A   |   "&amp;m_MP&amp;" MP   |   "&amp;in_lok</f>
        <v>NK38 , 0A   |   0 MP   |   Poza Krakowem</v>
      </c>
    </row>
    <row r="6" customFormat="false" ht="15" hidden="false" customHeight="false" outlineLevel="0" collapsed="false">
      <c r="B6" s="4" t="s">
        <v>75</v>
      </c>
      <c r="C6" s="17" t="s">
        <v>72</v>
      </c>
      <c r="D6" s="17" t="s">
        <v>76</v>
      </c>
      <c r="E6" s="17" t="s">
        <v>77</v>
      </c>
      <c r="F6" s="17" t="s">
        <v>78</v>
      </c>
    </row>
    <row r="7" customFormat="false" ht="15" hidden="false" customHeight="false" outlineLevel="0" collapsed="false">
      <c r="B7" s="11" t="s">
        <v>79</v>
      </c>
      <c r="C7" s="18" t="n">
        <f aca="false">Obliczenia!D70</f>
        <v>1813.14195266272</v>
      </c>
      <c r="D7" s="18" t="n">
        <f aca="false">Obliczenia!E70</f>
        <v>1813.14195266272</v>
      </c>
      <c r="E7" s="18" t="n">
        <f aca="false">Obliczenia!F70</f>
        <v>1813.14195266272</v>
      </c>
      <c r="F7" s="18" t="n">
        <f aca="false">Obliczenia!G70</f>
        <v>1813.14195266272</v>
      </c>
    </row>
    <row r="8" customFormat="false" ht="15" hidden="false" customHeight="false" outlineLevel="0" collapsed="false">
      <c r="B8" s="0" t="s">
        <v>80</v>
      </c>
      <c r="C8" s="19" t="n">
        <f aca="false">Obliczenia!D72</f>
        <v>0</v>
      </c>
      <c r="D8" s="19" t="n">
        <f aca="false">Obliczenia!E72</f>
        <v>0</v>
      </c>
      <c r="E8" s="19" t="n">
        <f aca="false">Obliczenia!F72</f>
        <v>0</v>
      </c>
      <c r="F8" s="19" t="n">
        <f aca="false">Obliczenia!G72</f>
        <v>0</v>
      </c>
    </row>
    <row r="9" customFormat="false" ht="15" hidden="false" customHeight="false" outlineLevel="0" collapsed="false">
      <c r="B9" s="0" t="s">
        <v>81</v>
      </c>
      <c r="C9" s="20" t="n">
        <f aca="false">Obliczenia!D73</f>
        <v>0</v>
      </c>
      <c r="D9" s="20" t="n">
        <f aca="false">Obliczenia!E73</f>
        <v>0</v>
      </c>
      <c r="E9" s="20" t="n">
        <f aca="false">Obliczenia!F73</f>
        <v>0</v>
      </c>
      <c r="F9" s="20" t="n">
        <f aca="false">Obliczenia!G73</f>
        <v>0</v>
      </c>
    </row>
    <row r="10" customFormat="false" ht="15" hidden="false" customHeight="false" outlineLevel="0" collapsed="false">
      <c r="B10" s="0" t="s">
        <v>82</v>
      </c>
      <c r="C10" s="19" t="n">
        <f aca="false">Obliczenia!D75</f>
        <v>1756.40166666667</v>
      </c>
      <c r="D10" s="19" t="n">
        <f aca="false">Obliczenia!E75</f>
        <v>1756.40166666667</v>
      </c>
      <c r="E10" s="19" t="n">
        <f aca="false">Obliczenia!F75</f>
        <v>1756.40166666667</v>
      </c>
      <c r="F10" s="19" t="n">
        <f aca="false">Obliczenia!G75</f>
        <v>1756.40166666667</v>
      </c>
    </row>
    <row r="11" customFormat="false" ht="15" hidden="false" customHeight="false" outlineLevel="0" collapsed="false">
      <c r="B11" s="0" t="s">
        <v>83</v>
      </c>
      <c r="C11" s="19" t="n">
        <f aca="false">Obliczenia!D68</f>
        <v>216.64201183432</v>
      </c>
      <c r="D11" s="19" t="n">
        <f aca="false">Obliczenia!E68</f>
        <v>216.64201183432</v>
      </c>
      <c r="E11" s="19" t="n">
        <f aca="false">Obliczenia!F68</f>
        <v>216.64201183432</v>
      </c>
      <c r="F11" s="19" t="n">
        <f aca="false">Obliczenia!G68</f>
        <v>216.64201183432</v>
      </c>
    </row>
    <row r="12" customFormat="false" ht="15" hidden="false" customHeight="false" outlineLevel="0" collapsed="false">
      <c r="B12" s="0" t="s">
        <v>84</v>
      </c>
      <c r="C12" s="19" t="n">
        <f aca="false">Obliczenia!D71</f>
        <v>1596.4999408284</v>
      </c>
      <c r="D12" s="19" t="n">
        <f aca="false">Obliczenia!E71</f>
        <v>1596.4999408284</v>
      </c>
      <c r="E12" s="19" t="n">
        <f aca="false">Obliczenia!F71</f>
        <v>1596.4999408284</v>
      </c>
      <c r="F12" s="19" t="n">
        <f aca="false">Obliczenia!G71</f>
        <v>1596.4999408284</v>
      </c>
    </row>
    <row r="14" customFormat="false" ht="15" hidden="false" customHeight="false" outlineLevel="0" collapsed="false">
      <c r="B14" s="0" t="s">
        <v>85</v>
      </c>
      <c r="C14" s="19" t="n">
        <f aca="false">Obliczenia!D53</f>
        <v>0</v>
      </c>
      <c r="D14" s="19" t="n">
        <f aca="false">Obliczenia!E53</f>
        <v>0</v>
      </c>
      <c r="E14" s="19" t="n">
        <f aca="false">Obliczenia!F53</f>
        <v>0</v>
      </c>
      <c r="F14" s="19" t="n">
        <f aca="false">Obliczenia!G53</f>
        <v>0</v>
      </c>
    </row>
    <row r="15" customFormat="false" ht="15" hidden="false" customHeight="false" outlineLevel="0" collapsed="false">
      <c r="B15" s="0" t="s">
        <v>86</v>
      </c>
      <c r="C15" s="19" t="n">
        <f aca="false">Obliczenia!D54</f>
        <v>0</v>
      </c>
      <c r="D15" s="19" t="n">
        <f aca="false">Obliczenia!E54</f>
        <v>0</v>
      </c>
      <c r="E15" s="19" t="n">
        <f aca="false">Obliczenia!F54</f>
        <v>0</v>
      </c>
      <c r="F15" s="19" t="n">
        <f aca="false">Obliczenia!G54</f>
        <v>0</v>
      </c>
    </row>
    <row r="16" customFormat="false" ht="15" hidden="false" customHeight="false" outlineLevel="0" collapsed="false">
      <c r="B16" s="0" t="s">
        <v>87</v>
      </c>
      <c r="C16" s="19" t="n">
        <f aca="false">Obliczenia!D57+Obliczenia!D58+Obliczenia!D59</f>
        <v>0</v>
      </c>
      <c r="D16" s="19" t="n">
        <f aca="false">Obliczenia!E57+Obliczenia!E58+Obliczenia!E59</f>
        <v>0</v>
      </c>
      <c r="E16" s="19" t="n">
        <f aca="false">Obliczenia!F57+Obliczenia!F58+Obliczenia!F59</f>
        <v>0</v>
      </c>
      <c r="F16" s="19" t="n">
        <f aca="false">Obliczenia!G57+Obliczenia!G58+Obliczenia!G59</f>
        <v>0</v>
      </c>
    </row>
    <row r="17" customFormat="false" ht="15" hidden="false" customHeight="false" outlineLevel="0" collapsed="false">
      <c r="B17" s="0" t="s">
        <v>88</v>
      </c>
      <c r="C17" s="19" t="n">
        <f aca="false">Obliczenia!D62+Obliczenia!D60+Obliczenia!D61</f>
        <v>280</v>
      </c>
      <c r="D17" s="19" t="n">
        <f aca="false">Obliczenia!E62+Obliczenia!E60+Obliczenia!E61</f>
        <v>280</v>
      </c>
      <c r="E17" s="19" t="n">
        <f aca="false">Obliczenia!F62+Obliczenia!F60+Obliczenia!F61</f>
        <v>280</v>
      </c>
      <c r="F17" s="19" t="n">
        <f aca="false">Obliczenia!G62+Obliczenia!G60+Obliczenia!G61</f>
        <v>280</v>
      </c>
    </row>
    <row r="18" customFormat="false" ht="15" hidden="false" customHeight="false" outlineLevel="0" collapsed="false">
      <c r="B18" s="0" t="s">
        <v>89</v>
      </c>
      <c r="C18" s="19" t="n">
        <f aca="false">Obliczenia!D56+Obliczenia!D63+Obliczenia!D55</f>
        <v>1184.5</v>
      </c>
      <c r="D18" s="19" t="n">
        <f aca="false">Obliczenia!E56+Obliczenia!E63+Obliczenia!E55</f>
        <v>1184.5</v>
      </c>
      <c r="E18" s="19" t="n">
        <f aca="false">Obliczenia!F56+Obliczenia!F63+Obliczenia!F55</f>
        <v>1184.5</v>
      </c>
      <c r="F18" s="19" t="n">
        <f aca="false">Obliczenia!G56+Obliczenia!G63+Obliczenia!G55</f>
        <v>1184.5</v>
      </c>
    </row>
    <row r="19" customFormat="false" ht="15" hidden="false" customHeight="false" outlineLevel="0" collapsed="false">
      <c r="B19" s="0" t="s">
        <v>90</v>
      </c>
      <c r="C19" s="19" t="n">
        <f aca="false">Obliczenia!D66+Obliczenia!D67+Obliczenia!D69</f>
        <v>131.999940828402</v>
      </c>
      <c r="D19" s="19" t="n">
        <f aca="false">Obliczenia!E66+Obliczenia!E67+Obliczenia!E69</f>
        <v>131.999940828402</v>
      </c>
      <c r="E19" s="19" t="n">
        <f aca="false">Obliczenia!F66+Obliczenia!F67+Obliczenia!F69</f>
        <v>131.999940828402</v>
      </c>
      <c r="F19" s="19" t="n">
        <f aca="false">Obliczenia!G66+Obliczenia!G67+Obliczenia!G69</f>
        <v>131.999940828402</v>
      </c>
    </row>
    <row r="21" customFormat="false" ht="15" hidden="false" customHeight="false" outlineLevel="0" collapsed="false">
      <c r="B21" s="11" t="s">
        <v>91</v>
      </c>
      <c r="C21" s="21" t="n">
        <f aca="false">Obliczenia!D51</f>
        <v>1</v>
      </c>
      <c r="D21" s="21" t="n">
        <f aca="false">Obliczenia!E51</f>
        <v>1</v>
      </c>
      <c r="E21" s="21" t="n">
        <f aca="false">Obliczenia!F51</f>
        <v>1</v>
      </c>
      <c r="F21" s="21" t="n">
        <f aca="false">Obliczenia!G51</f>
        <v>1</v>
      </c>
    </row>
    <row r="22" customFormat="false" ht="15" hidden="false" customHeight="false" outlineLevel="0" collapsed="false">
      <c r="B22" s="11" t="s">
        <v>92</v>
      </c>
      <c r="C22" s="21" t="n">
        <f aca="false">Obliczenia!D48</f>
        <v>1</v>
      </c>
      <c r="D22" s="21" t="n">
        <f aca="false">Obliczenia!E48</f>
        <v>1</v>
      </c>
      <c r="E22" s="21" t="n">
        <f aca="false">Obliczenia!F48</f>
        <v>1</v>
      </c>
      <c r="F22" s="21" t="n">
        <f aca="false">Obliczenia!G48</f>
        <v>1</v>
      </c>
    </row>
    <row r="23" customFormat="false" ht="15" hidden="false" customHeight="false" outlineLevel="0" collapsed="false">
      <c r="B23" s="0" t="s">
        <v>93</v>
      </c>
      <c r="C23" s="22" t="n">
        <f aca="false">Obliczenia!D50</f>
        <v>0.7</v>
      </c>
      <c r="D23" s="22" t="n">
        <f aca="false">Obliczenia!E50</f>
        <v>0.7</v>
      </c>
      <c r="E23" s="22" t="n">
        <f aca="false">Obliczenia!F50</f>
        <v>0.7</v>
      </c>
      <c r="F23" s="22" t="n">
        <f aca="false">Obliczenia!G50</f>
        <v>0.7</v>
      </c>
    </row>
    <row r="25" customFormat="false" ht="15" hidden="false" customHeight="false" outlineLevel="0" collapsed="false">
      <c r="B25" s="4" t="s">
        <v>94</v>
      </c>
      <c r="C25" s="4" t="s">
        <v>95</v>
      </c>
      <c r="D25" s="4" t="s">
        <v>96</v>
      </c>
    </row>
    <row r="26" customFormat="false" ht="15" hidden="false" customHeight="false" outlineLevel="0" collapsed="false">
      <c r="B26" s="0" t="s">
        <v>97</v>
      </c>
      <c r="C26" s="19" t="n">
        <f aca="false">Obliczenia!F70-Obliczenia!D70</f>
        <v>0</v>
      </c>
      <c r="D26" s="19" t="n">
        <f aca="false">Obliczenia!G70-Obliczenia!E70</f>
        <v>0</v>
      </c>
    </row>
    <row r="27" customFormat="false" ht="15" hidden="false" customHeight="false" outlineLevel="0" collapsed="false">
      <c r="B27" s="0" t="s">
        <v>98</v>
      </c>
      <c r="C27" s="19" t="n">
        <f aca="false">Obliczenia!F70-Obliczenia!D70+(c_slupek22-c_slupek)*m_MP*e_mnoznik</f>
        <v>0</v>
      </c>
      <c r="D27" s="19" t="n">
        <f aca="false">Obliczenia!G70-Obliczenia!E70+(c_slupek22-c_slupek)*m_MP*e_mnoznik</f>
        <v>0</v>
      </c>
    </row>
    <row r="28" customFormat="false" ht="15" hidden="false" customHeight="false" outlineLevel="0" collapsed="false">
      <c r="B28" s="0" t="s">
        <v>99</v>
      </c>
      <c r="C28" s="19" t="n">
        <f aca="false">m_malowanie*e_mnoznik</f>
        <v>0</v>
      </c>
      <c r="D28" s="19" t="n">
        <f aca="false">m_malowanie*e_mnoznik</f>
        <v>0</v>
      </c>
    </row>
    <row r="30" customFormat="false" ht="15" hidden="false" customHeight="false" outlineLevel="0" collapsed="false">
      <c r="B30" s="11" t="str">
        <f aca="false">"Analiza liczby osób - wariant: "&amp;in_analiza</f>
        <v>Analiza liczby osób - wariant: 2000 kg</v>
      </c>
    </row>
    <row r="31" customFormat="false" ht="15" hidden="false" customHeight="false" outlineLevel="0" collapsed="false">
      <c r="B31" s="4" t="s">
        <v>100</v>
      </c>
      <c r="C31" s="17" t="s">
        <v>101</v>
      </c>
      <c r="D31" s="17" t="s">
        <v>102</v>
      </c>
      <c r="E31" s="17" t="s">
        <v>103</v>
      </c>
      <c r="F31" s="17" t="s">
        <v>104</v>
      </c>
      <c r="G31" s="17" t="s">
        <v>105</v>
      </c>
      <c r="H31" s="17" t="s">
        <v>106</v>
      </c>
    </row>
    <row r="32" customFormat="false" ht="15" hidden="false" customHeight="false" outlineLevel="0" collapsed="false">
      <c r="B32" s="0" t="s">
        <v>107</v>
      </c>
      <c r="C32" s="19" t="n">
        <f aca="false">Obliczenia!I70</f>
        <v>998.43399408284</v>
      </c>
      <c r="D32" s="19" t="n">
        <f aca="false">Obliczenia!J70</f>
        <v>1405.78797337278</v>
      </c>
      <c r="E32" s="19" t="n">
        <f aca="false">Obliczenia!K70</f>
        <v>1813.14195266272</v>
      </c>
      <c r="F32" s="19" t="n">
        <f aca="false">Obliczenia!L70</f>
        <v>2220.49593195266</v>
      </c>
      <c r="G32" s="19" t="n">
        <f aca="false">Obliczenia!M70</f>
        <v>2627.8499112426</v>
      </c>
      <c r="H32" s="19" t="n">
        <f aca="false">Obliczenia!N70</f>
        <v>3035.20389053255</v>
      </c>
    </row>
    <row r="33" customFormat="false" ht="15" hidden="false" customHeight="false" outlineLevel="0" collapsed="false">
      <c r="B33" s="0" t="s">
        <v>108</v>
      </c>
      <c r="C33" s="19" t="n">
        <f aca="false">Obliczenia!I72</f>
        <v>0</v>
      </c>
      <c r="D33" s="19" t="n">
        <f aca="false">Obliczenia!J72</f>
        <v>0</v>
      </c>
      <c r="E33" s="19" t="n">
        <f aca="false">Obliczenia!K72</f>
        <v>0</v>
      </c>
      <c r="F33" s="19" t="n">
        <f aca="false">Obliczenia!L72</f>
        <v>0</v>
      </c>
      <c r="G33" s="19" t="n">
        <f aca="false">Obliczenia!M72</f>
        <v>0</v>
      </c>
      <c r="H33" s="19" t="n">
        <f aca="false">Obliczenia!N72</f>
        <v>0</v>
      </c>
    </row>
    <row r="34" customFormat="false" ht="15" hidden="false" customHeight="false" outlineLevel="0" collapsed="false">
      <c r="B34" s="0" t="s">
        <v>91</v>
      </c>
      <c r="C34" s="23" t="n">
        <f aca="false">Obliczenia!I51</f>
        <v>1</v>
      </c>
      <c r="D34" s="23" t="n">
        <f aca="false">Obliczenia!J51</f>
        <v>1</v>
      </c>
      <c r="E34" s="23" t="n">
        <f aca="false">Obliczenia!K51</f>
        <v>1</v>
      </c>
      <c r="F34" s="23" t="n">
        <f aca="false">Obliczenia!L51</f>
        <v>1</v>
      </c>
      <c r="G34" s="23" t="n">
        <f aca="false">Obliczenia!M51</f>
        <v>1</v>
      </c>
      <c r="H34" s="23" t="n">
        <f aca="false">Obliczenia!N51</f>
        <v>1</v>
      </c>
    </row>
    <row r="35" customFormat="false" ht="15" hidden="false" customHeight="false" outlineLevel="0" collapsed="false">
      <c r="B35" s="0" t="s">
        <v>109</v>
      </c>
      <c r="C35" s="23" t="n">
        <f aca="false">Obliczenia!I48</f>
        <v>1</v>
      </c>
      <c r="D35" s="23" t="n">
        <f aca="false">Obliczenia!J48</f>
        <v>1</v>
      </c>
      <c r="E35" s="23" t="n">
        <f aca="false">Obliczenia!K48</f>
        <v>1</v>
      </c>
      <c r="F35" s="23" t="n">
        <f aca="false">Obliczenia!L48</f>
        <v>1</v>
      </c>
      <c r="G35" s="23" t="n">
        <f aca="false">Obliczenia!M48</f>
        <v>1</v>
      </c>
      <c r="H35" s="23" t="n">
        <f aca="false">Obliczenia!N48</f>
        <v>1</v>
      </c>
    </row>
    <row r="36" customFormat="false" ht="15" hidden="false" customHeight="false" outlineLevel="0" collapsed="false">
      <c r="B36" s="0" t="s">
        <v>110</v>
      </c>
      <c r="C36" s="19" t="n">
        <f aca="false">Obliczenia!I56+Obliczenia!I63</f>
        <v>535.75</v>
      </c>
      <c r="D36" s="19" t="n">
        <f aca="false">Obliczenia!J56+Obliczenia!J63</f>
        <v>803.625</v>
      </c>
      <c r="E36" s="19" t="n">
        <f aca="false">Obliczenia!K56+Obliczenia!K63</f>
        <v>1071.5</v>
      </c>
      <c r="F36" s="19" t="n">
        <f aca="false">Obliczenia!L56+Obliczenia!L63</f>
        <v>1339.375</v>
      </c>
      <c r="G36" s="19" t="n">
        <f aca="false">Obliczenia!M56+Obliczenia!M63</f>
        <v>1607.25</v>
      </c>
      <c r="H36" s="19" t="n">
        <f aca="false">Obliczenia!N56+Obliczenia!N63</f>
        <v>1875.125</v>
      </c>
    </row>
    <row r="37" customFormat="false" ht="15" hidden="false" customHeight="false" outlineLevel="0" collapsed="false">
      <c r="B37" s="8" t="s">
        <v>111</v>
      </c>
    </row>
    <row r="39" customFormat="false" ht="15" hidden="false" customHeight="false" outlineLevel="0" collapsed="false">
      <c r="B39" s="4" t="s">
        <v>112</v>
      </c>
      <c r="C39" s="5"/>
      <c r="D39" s="5"/>
      <c r="E39" s="5"/>
      <c r="F39" s="5"/>
    </row>
    <row r="40" customFormat="false" ht="15" hidden="false" customHeight="false" outlineLevel="0" collapsed="false">
      <c r="B40" s="0" t="s">
        <v>113</v>
      </c>
      <c r="C40" s="16" t="str">
        <f aca="false">in_typ&amp;": "&amp;IF(in_S&gt;0,in_S&amp;" x S (2 MP)  ","")&amp;IF(in_D&gt;0,in_D&amp;" x D (4 MP)  ","")&amp;IF(in_NP&gt;0,in_NP&amp;" x N.P.  ","")&amp;"= "&amp;m_MP&amp;" MP"</f>
        <v>NK38: = 0 MP</v>
      </c>
      <c r="D40" s="16"/>
      <c r="E40" s="16"/>
      <c r="F40" s="16"/>
      <c r="G40" s="16"/>
      <c r="H40" s="16"/>
    </row>
    <row r="41" customFormat="false" ht="15" hidden="false" customHeight="false" outlineLevel="0" collapsed="false">
      <c r="B41" s="0" t="s">
        <v>24</v>
      </c>
      <c r="C41" s="16" t="str">
        <f aca="false">in_agregaty&amp;" szt."</f>
        <v>0 szt.</v>
      </c>
      <c r="D41" s="16"/>
      <c r="E41" s="16"/>
      <c r="F41" s="16"/>
      <c r="G41" s="16"/>
      <c r="H41" s="16"/>
    </row>
    <row r="42" customFormat="false" ht="15" hidden="false" customHeight="false" outlineLevel="0" collapsed="false">
      <c r="B42" s="0" t="s">
        <v>114</v>
      </c>
      <c r="C42" s="16" t="str">
        <f aca="false">IF(t_zaglebienia="","standard 170 cm",t_zaglebienia)</f>
        <v>standard 170 cm</v>
      </c>
      <c r="D42" s="16"/>
      <c r="E42" s="16"/>
      <c r="F42" s="16"/>
      <c r="G42" s="16"/>
      <c r="H42" s="16"/>
    </row>
    <row r="43" customFormat="false" ht="15" hidden="false" customHeight="false" outlineLevel="0" collapsed="false">
      <c r="B43" s="0" t="s">
        <v>115</v>
      </c>
      <c r="C43" s="16" t="str">
        <f aca="false">IF(t_wymiary="","standard",t_wymiary)</f>
        <v>standard</v>
      </c>
      <c r="D43" s="16"/>
      <c r="E43" s="16"/>
      <c r="F43" s="16"/>
      <c r="G43" s="16"/>
      <c r="H43" s="16"/>
    </row>
    <row r="44" customFormat="false" ht="15" hidden="false" customHeight="false" outlineLevel="0" collapsed="false">
      <c r="B44" s="0" t="s">
        <v>116</v>
      </c>
      <c r="C44" s="16" t="str">
        <f aca="false">in_magistrala&amp;" x 6 m  /  "&amp;in_barierki&amp;" szt.  /  "&amp;in_maskownice&amp;" szt."</f>
        <v>0 x 6 m  /  0 szt.  /  0 szt.</v>
      </c>
      <c r="D44" s="16"/>
      <c r="E44" s="16"/>
      <c r="F44" s="16"/>
      <c r="G44" s="16"/>
      <c r="H44" s="16"/>
    </row>
    <row r="45" customFormat="false" ht="15" hidden="false" customHeight="false" outlineLevel="0" collapsed="false">
      <c r="B45" s="0" t="s">
        <v>117</v>
      </c>
      <c r="C45" s="16" t="str">
        <f aca="false">m_utr&amp;" (z magistrali i barierek "&amp;m_utr_auto&amp;", ręcznie "&amp;in_utr_dod&amp;")"</f>
        <v>0 (z magistrali i barierek 0, ręcznie 0)</v>
      </c>
      <c r="D45" s="16"/>
      <c r="E45" s="16"/>
      <c r="F45" s="16"/>
      <c r="G45" s="16"/>
      <c r="H45" s="16"/>
    </row>
    <row r="46" customFormat="false" ht="15" hidden="false" customHeight="false" outlineLevel="0" collapsed="false">
      <c r="B46" s="0" t="s">
        <v>10</v>
      </c>
      <c r="C46" s="16" t="str">
        <f aca="false">in_lok&amp;IF(e_krk,"","  ("&amp;in_km&amp;" km od Krakowa)")</f>
        <v>Poza Krakowem  (0 km od Krakowa)</v>
      </c>
      <c r="D46" s="16"/>
      <c r="E46" s="16"/>
      <c r="F46" s="16"/>
      <c r="G46" s="16"/>
      <c r="H46" s="16"/>
    </row>
    <row r="47" customFormat="false" ht="15" hidden="false" customHeight="false" outlineLevel="0" collapsed="false">
      <c r="B47" s="0" t="s">
        <v>118</v>
      </c>
      <c r="C47" s="16" t="str">
        <f aca="false">e_km_pom&amp;" / "&amp;e_km_mon&amp;" km"</f>
        <v>0 / 50 km</v>
      </c>
      <c r="D47" s="16"/>
      <c r="E47" s="16"/>
      <c r="F47" s="16"/>
      <c r="G47" s="16"/>
      <c r="H47" s="16"/>
    </row>
    <row r="48" customFormat="false" ht="15" hidden="false" customHeight="false" outlineLevel="0" collapsed="false">
      <c r="B48" s="0" t="s">
        <v>119</v>
      </c>
      <c r="C48" s="16" t="str">
        <f aca="false">in_tir&amp;" TIR x "&amp;TEXT(in_tir_cena,"#,##0")&amp;" zł, rozładunek "&amp;TEXT(in_rozl_cena,"#,##0")&amp;" zł/TIR, "&amp;e_rozl_dni&amp;" dni"</f>
        <v>0 TIR x 0 zł, rozładunek 0 zł/TIR, 0 dni</v>
      </c>
      <c r="D48" s="16"/>
      <c r="E48" s="16"/>
      <c r="F48" s="16"/>
      <c r="G48" s="16"/>
      <c r="H48" s="16"/>
    </row>
    <row r="49" customFormat="false" ht="15" hidden="false" customHeight="false" outlineLevel="0" collapsed="false">
      <c r="B49" s="0" t="s">
        <v>120</v>
      </c>
      <c r="C49" s="16" t="str">
        <f aca="false">in_osoby&amp;" osób, średnia stawka "&amp;TEXT(Obliczenia!D41,"#,##0")&amp;" zł/dzień"</f>
        <v>4 osób, średnia stawka 400 zł/dzień</v>
      </c>
      <c r="D49" s="16"/>
      <c r="E49" s="16"/>
      <c r="F49" s="16"/>
      <c r="G49" s="16"/>
      <c r="H49" s="16"/>
    </row>
    <row r="50" customFormat="false" ht="15" hidden="false" customHeight="false" outlineLevel="0" collapsed="false">
      <c r="B50" s="0" t="s">
        <v>121</v>
      </c>
      <c r="C50" s="16" t="str">
        <f aca="false">e_dzw_dni&amp;" dni"</f>
        <v>0 dni</v>
      </c>
      <c r="D50" s="16"/>
      <c r="E50" s="16"/>
      <c r="F50" s="16"/>
      <c r="G50" s="16"/>
      <c r="H50" s="16"/>
    </row>
    <row r="51" customFormat="false" ht="15" hidden="false" customHeight="false" outlineLevel="0" collapsed="false">
      <c r="B51" s="0" t="s">
        <v>122</v>
      </c>
      <c r="C51" s="16" t="str">
        <f aca="false">Obliczenia!D51&amp;" dni pracy = "&amp;Obliczenia!D48&amp;IF(e_krk," dni"," tyg.")&amp;", "&amp;TEXT(Obliczenia!D50,"0.0")&amp;" osobodni"</f>
        <v>1 dni pracy = 1 tyg., 0.7 osobodni</v>
      </c>
      <c r="D51" s="16"/>
      <c r="E51" s="16"/>
      <c r="F51" s="16"/>
      <c r="G51" s="16"/>
      <c r="H51" s="16"/>
    </row>
    <row r="52" customFormat="false" ht="15" hidden="false" customHeight="false" outlineLevel="0" collapsed="false">
      <c r="B52" s="0" t="s">
        <v>123</v>
      </c>
      <c r="C52" s="16" t="str">
        <f aca="false">Obliczenia!F51&amp;" dni pracy = "&amp;Obliczenia!F48&amp;IF(e_krk," dni"," tyg.")&amp;", "&amp;TEXT(Obliczenia!F50,"0.0")&amp;" osobodni"</f>
        <v>1 dni pracy = 1 tyg., 0.7 osobodni</v>
      </c>
      <c r="D52" s="16"/>
      <c r="E52" s="16"/>
      <c r="F52" s="16"/>
      <c r="G52" s="16"/>
      <c r="H52" s="16"/>
    </row>
    <row r="53" customFormat="false" ht="15" hidden="false" customHeight="false" outlineLevel="0" collapsed="false">
      <c r="B53" s="0" t="s">
        <v>124</v>
      </c>
      <c r="C53" s="16" t="str">
        <f aca="false">TEXT(in_zysk,"0.0%")&amp;" / "&amp;TEXT(in_zysk_min,"0.0%")</f>
        <v>12.5% / 10.0%</v>
      </c>
      <c r="D53" s="16"/>
      <c r="E53" s="16"/>
      <c r="F53" s="16"/>
      <c r="G53" s="16"/>
      <c r="H53" s="16"/>
    </row>
    <row r="54" customFormat="false" ht="15" hidden="false" customHeight="false" outlineLevel="0" collapsed="false">
      <c r="B54" s="0" t="s">
        <v>125</v>
      </c>
      <c r="C54" s="16" t="str">
        <f aca="false">TEXT(in_q2500,"0.0%")</f>
        <v>7.0%</v>
      </c>
      <c r="D54" s="16"/>
      <c r="E54" s="16"/>
      <c r="F54" s="16"/>
      <c r="G54" s="16"/>
      <c r="H54" s="16"/>
    </row>
    <row r="55" customFormat="false" ht="15" hidden="false" customHeight="false" outlineLevel="0" collapsed="false">
      <c r="B55" s="0" t="s">
        <v>62</v>
      </c>
      <c r="C55" s="16" t="str">
        <f aca="false">in_wzor</f>
        <v>Stary (poprawiony)</v>
      </c>
      <c r="D55" s="16"/>
      <c r="E55" s="16"/>
      <c r="F55" s="16"/>
      <c r="G55" s="16"/>
      <c r="H55" s="16"/>
    </row>
    <row r="56" customFormat="false" ht="15" hidden="false" customHeight="false" outlineLevel="0" collapsed="false">
      <c r="B56" s="0" t="s">
        <v>126</v>
      </c>
      <c r="C56" s="16" t="str">
        <f aca="false">TEXT(c_konserw*m_MP*12,"#,##0")&amp;" / "&amp;TEXT(c_konserw2*m_MP*12,"#,##0")&amp;" / "&amp;TEXT(c_konserw3*m_MP*12,"#,##0")&amp;" zł"</f>
        <v>0 / 0 / 0 zł</v>
      </c>
      <c r="D56" s="16"/>
      <c r="E56" s="16"/>
      <c r="F56" s="16"/>
      <c r="G56" s="16"/>
      <c r="H56" s="16"/>
    </row>
    <row r="57" customFormat="false" ht="15" hidden="false" customHeight="false" outlineLevel="0" collapsed="false">
      <c r="B57" s="0" t="s">
        <v>127</v>
      </c>
      <c r="C57" s="16" t="str">
        <f aca="false">in_opis&amp;""</f>
        <v/>
      </c>
      <c r="D57" s="16"/>
      <c r="E57" s="16"/>
      <c r="F57" s="16"/>
      <c r="G57" s="16"/>
      <c r="H57" s="16"/>
    </row>
    <row r="59" customFormat="false" ht="15" hidden="false" customHeight="false" outlineLevel="0" collapsed="false">
      <c r="B59" s="11" t="s">
        <v>128</v>
      </c>
      <c r="C59" s="0" t="str">
        <f aca="false">IF(COUNTIF(Dane!B63:B68,"ok")=6,"wszystko ok","sprawdź arkusz Dane")</f>
        <v>sprawdź arkusz Dane</v>
      </c>
    </row>
    <row r="61" customFormat="false" ht="15" hidden="false" customHeight="false" outlineLevel="0" collapsed="false">
      <c r="B61" s="4" t="s">
        <v>129</v>
      </c>
      <c r="C61" s="5"/>
      <c r="D61" s="5"/>
      <c r="E61" s="5"/>
      <c r="F61" s="5"/>
      <c r="G61" s="5"/>
      <c r="H61" s="5"/>
    </row>
    <row r="62" customFormat="false" ht="30" hidden="false" customHeight="true" outlineLevel="0" collapsed="false">
      <c r="B62" s="24" t="s">
        <v>130</v>
      </c>
      <c r="C62" s="24"/>
      <c r="D62" s="24"/>
      <c r="E62" s="24"/>
      <c r="F62" s="24"/>
      <c r="G62" s="24"/>
      <c r="H62" s="24"/>
    </row>
    <row r="63" customFormat="false" ht="30" hidden="false" customHeight="true" outlineLevel="0" collapsed="false">
      <c r="B63" s="24" t="s">
        <v>131</v>
      </c>
      <c r="C63" s="24"/>
      <c r="D63" s="24"/>
      <c r="E63" s="24"/>
      <c r="F63" s="24"/>
      <c r="G63" s="24"/>
      <c r="H63" s="24"/>
    </row>
    <row r="64" customFormat="false" ht="30" hidden="false" customHeight="true" outlineLevel="0" collapsed="false">
      <c r="B64" s="24" t="s">
        <v>132</v>
      </c>
      <c r="C64" s="24"/>
      <c r="D64" s="24"/>
      <c r="E64" s="24"/>
      <c r="F64" s="24"/>
      <c r="G64" s="24"/>
      <c r="H64" s="24"/>
    </row>
    <row r="65" customFormat="false" ht="30" hidden="false" customHeight="true" outlineLevel="0" collapsed="false">
      <c r="B65" s="24" t="s">
        <v>133</v>
      </c>
      <c r="C65" s="24"/>
      <c r="D65" s="24"/>
      <c r="E65" s="24"/>
      <c r="F65" s="24"/>
      <c r="G65" s="24"/>
      <c r="H65" s="24"/>
    </row>
    <row r="66" customFormat="false" ht="30" hidden="false" customHeight="true" outlineLevel="0" collapsed="false">
      <c r="B66" s="24" t="s">
        <v>134</v>
      </c>
      <c r="C66" s="24"/>
      <c r="D66" s="24"/>
      <c r="E66" s="24"/>
      <c r="F66" s="24"/>
      <c r="G66" s="24"/>
      <c r="H66" s="24"/>
    </row>
  </sheetData>
  <mergeCells count="23"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B62:H62"/>
    <mergeCell ref="B63:H63"/>
    <mergeCell ref="B64:H64"/>
    <mergeCell ref="B65:H65"/>
    <mergeCell ref="B66:H66"/>
  </mergeCells>
  <conditionalFormatting sqref="C32:H32">
    <cfRule type="expression" priority="2" aboveAverage="0" equalAverage="0" bottom="0" percent="0" rank="0" text="" dxfId="1">
      <formula>C32=MIN($C$32:$H$32)</formula>
    </cfRule>
  </conditionalFormatting>
  <conditionalFormatting sqref="C59">
    <cfRule type="expression" priority="3" aboveAverage="0" equalAverage="0" bottom="0" percent="0" rank="0" text="" dxfId="0">
      <formula>C59&lt;&gt;"wszystko 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1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4"/>
    <col collapsed="false" customWidth="true" hidden="false" outlineLevel="0" max="4" min="3" style="0" width="14"/>
    <col collapsed="false" customWidth="true" hidden="false" outlineLevel="0" max="5" min="5" style="0" width="36"/>
    <col collapsed="false" customWidth="true" hidden="false" outlineLevel="0" max="6" min="6" style="0" width="12"/>
  </cols>
  <sheetData>
    <row r="2" customFormat="false" ht="24" hidden="false" customHeight="true" outlineLevel="0" collapsed="false">
      <c r="B2" s="1" t="s">
        <v>135</v>
      </c>
      <c r="C2" s="2"/>
      <c r="D2" s="2"/>
      <c r="E2" s="2"/>
      <c r="F2" s="2"/>
    </row>
    <row r="3" customFormat="false" ht="15" hidden="false" customHeight="false" outlineLevel="0" collapsed="false">
      <c r="B3" s="3" t="s">
        <v>136</v>
      </c>
    </row>
    <row r="5" customFormat="false" ht="15" hidden="false" customHeight="false" outlineLevel="0" collapsed="false">
      <c r="B5" s="4" t="s">
        <v>137</v>
      </c>
      <c r="C5" s="5"/>
      <c r="D5" s="5"/>
      <c r="E5" s="5"/>
    </row>
    <row r="6" customFormat="false" ht="15" hidden="false" customHeight="false" outlineLevel="0" collapsed="false">
      <c r="B6" s="0" t="s">
        <v>138</v>
      </c>
      <c r="C6" s="13" t="n">
        <v>32500</v>
      </c>
      <c r="E6" s="8" t="s">
        <v>139</v>
      </c>
    </row>
    <row r="7" customFormat="false" ht="15" hidden="false" customHeight="false" outlineLevel="0" collapsed="false">
      <c r="B7" s="0" t="s">
        <v>140</v>
      </c>
      <c r="C7" s="13" t="n">
        <v>700</v>
      </c>
      <c r="E7" s="8" t="s">
        <v>141</v>
      </c>
    </row>
    <row r="8" customFormat="false" ht="15" hidden="false" customHeight="false" outlineLevel="0" collapsed="false">
      <c r="B8" s="0" t="s">
        <v>142</v>
      </c>
      <c r="C8" s="14" t="n">
        <v>0.61</v>
      </c>
      <c r="E8" s="8" t="s">
        <v>143</v>
      </c>
    </row>
    <row r="9" customFormat="false" ht="15" hidden="false" customHeight="false" outlineLevel="0" collapsed="false">
      <c r="B9" s="0" t="s">
        <v>144</v>
      </c>
      <c r="C9" s="14" t="n">
        <v>0.85</v>
      </c>
      <c r="E9" s="8" t="s">
        <v>145</v>
      </c>
    </row>
    <row r="10" customFormat="false" ht="15" hidden="false" customHeight="false" outlineLevel="0" collapsed="false">
      <c r="B10" s="0" t="s">
        <v>146</v>
      </c>
      <c r="C10" s="13" t="n">
        <v>1170</v>
      </c>
      <c r="E10" s="8" t="s">
        <v>147</v>
      </c>
    </row>
    <row r="11" customFormat="false" ht="15" hidden="false" customHeight="false" outlineLevel="0" collapsed="false">
      <c r="B11" s="0" t="s">
        <v>148</v>
      </c>
      <c r="C11" s="13" t="n">
        <v>1560</v>
      </c>
      <c r="E11" s="8" t="s">
        <v>149</v>
      </c>
    </row>
    <row r="12" customFormat="false" ht="15" hidden="false" customHeight="false" outlineLevel="0" collapsed="false">
      <c r="B12" s="0" t="s">
        <v>150</v>
      </c>
      <c r="C12" s="13" t="n">
        <v>1820</v>
      </c>
      <c r="E12" s="8" t="s">
        <v>151</v>
      </c>
    </row>
    <row r="13" customFormat="false" ht="15" hidden="false" customHeight="false" outlineLevel="0" collapsed="false">
      <c r="B13" s="0" t="s">
        <v>152</v>
      </c>
      <c r="C13" s="13" t="n">
        <v>3110</v>
      </c>
      <c r="E13" s="8" t="s">
        <v>153</v>
      </c>
    </row>
    <row r="14" customFormat="false" ht="15" hidden="false" customHeight="false" outlineLevel="0" collapsed="false">
      <c r="B14" s="0" t="s">
        <v>48</v>
      </c>
      <c r="C14" s="13" t="n">
        <v>2340</v>
      </c>
      <c r="E14" s="8" t="s">
        <v>154</v>
      </c>
    </row>
    <row r="15" customFormat="false" ht="15" hidden="false" customHeight="false" outlineLevel="0" collapsed="false">
      <c r="B15" s="0" t="s">
        <v>155</v>
      </c>
      <c r="C15" s="25" t="n">
        <v>0.00127</v>
      </c>
      <c r="E15" s="8" t="s">
        <v>156</v>
      </c>
    </row>
    <row r="16" customFormat="false" ht="15" hidden="false" customHeight="false" outlineLevel="0" collapsed="false">
      <c r="B16" s="0" t="s">
        <v>157</v>
      </c>
      <c r="C16" s="14" t="n">
        <v>0.07</v>
      </c>
      <c r="E16" s="8" t="s">
        <v>158</v>
      </c>
    </row>
    <row r="17" customFormat="false" ht="15" hidden="false" customHeight="false" outlineLevel="0" collapsed="false">
      <c r="B17" s="4" t="s">
        <v>159</v>
      </c>
      <c r="C17" s="5"/>
      <c r="D17" s="5"/>
      <c r="E17" s="5"/>
    </row>
    <row r="18" customFormat="false" ht="15" hidden="false" customHeight="false" outlineLevel="0" collapsed="false">
      <c r="B18" s="0" t="s">
        <v>160</v>
      </c>
      <c r="C18" s="13" t="n">
        <v>6500</v>
      </c>
      <c r="E18" s="8" t="s">
        <v>161</v>
      </c>
    </row>
    <row r="19" customFormat="false" ht="15" hidden="false" customHeight="false" outlineLevel="0" collapsed="false">
      <c r="B19" s="0" t="s">
        <v>162</v>
      </c>
      <c r="C19" s="13" t="n">
        <v>1500</v>
      </c>
      <c r="E19" s="8" t="s">
        <v>163</v>
      </c>
    </row>
    <row r="20" customFormat="false" ht="15" hidden="false" customHeight="false" outlineLevel="0" collapsed="false">
      <c r="B20" s="0" t="s">
        <v>164</v>
      </c>
      <c r="C20" s="13" t="n">
        <v>200</v>
      </c>
      <c r="E20" s="8" t="s">
        <v>165</v>
      </c>
    </row>
    <row r="21" customFormat="false" ht="15" hidden="false" customHeight="false" outlineLevel="0" collapsed="false">
      <c r="B21" s="0" t="s">
        <v>166</v>
      </c>
      <c r="C21" s="13" t="n">
        <v>500</v>
      </c>
      <c r="E21" s="8" t="s">
        <v>167</v>
      </c>
    </row>
    <row r="22" customFormat="false" ht="15" hidden="false" customHeight="false" outlineLevel="0" collapsed="false">
      <c r="B22" s="0" t="s">
        <v>168</v>
      </c>
      <c r="C22" s="13" t="n">
        <v>50</v>
      </c>
      <c r="E22" s="8" t="s">
        <v>167</v>
      </c>
    </row>
    <row r="23" customFormat="false" ht="15" hidden="false" customHeight="false" outlineLevel="0" collapsed="false">
      <c r="B23" s="0" t="s">
        <v>169</v>
      </c>
      <c r="C23" s="13" t="n">
        <v>1080</v>
      </c>
      <c r="E23" s="8" t="s">
        <v>170</v>
      </c>
    </row>
    <row r="24" customFormat="false" ht="15" hidden="false" customHeight="false" outlineLevel="0" collapsed="false">
      <c r="B24" s="0" t="s">
        <v>171</v>
      </c>
      <c r="C24" s="13" t="n">
        <v>1175</v>
      </c>
      <c r="E24" s="8" t="s">
        <v>172</v>
      </c>
    </row>
    <row r="25" customFormat="false" ht="15" hidden="false" customHeight="false" outlineLevel="0" collapsed="false">
      <c r="B25" s="0" t="s">
        <v>173</v>
      </c>
      <c r="C25" s="13" t="n">
        <v>1250</v>
      </c>
      <c r="E25" s="8" t="s">
        <v>174</v>
      </c>
    </row>
    <row r="26" customFormat="false" ht="15" hidden="false" customHeight="false" outlineLevel="0" collapsed="false">
      <c r="B26" s="0" t="s">
        <v>175</v>
      </c>
      <c r="C26" s="26" t="n">
        <f aca="false">0.2*11+0.4*11+2*14+6*11+6*5+6*10</f>
        <v>190.6</v>
      </c>
      <c r="E26" s="8" t="s">
        <v>176</v>
      </c>
    </row>
    <row r="27" customFormat="false" ht="15" hidden="false" customHeight="false" outlineLevel="0" collapsed="false">
      <c r="B27" s="4" t="s">
        <v>177</v>
      </c>
      <c r="C27" s="5"/>
      <c r="D27" s="5"/>
      <c r="E27" s="5"/>
    </row>
    <row r="28" customFormat="false" ht="15" hidden="false" customHeight="false" outlineLevel="0" collapsed="false">
      <c r="B28" s="0" t="s">
        <v>178</v>
      </c>
      <c r="C28" s="13" t="n">
        <v>600</v>
      </c>
      <c r="E28" s="8" t="s">
        <v>179</v>
      </c>
    </row>
    <row r="29" customFormat="false" ht="15" hidden="false" customHeight="false" outlineLevel="0" collapsed="false">
      <c r="B29" s="0" t="s">
        <v>180</v>
      </c>
      <c r="C29" s="13" t="n">
        <v>700</v>
      </c>
      <c r="E29" s="8" t="s">
        <v>181</v>
      </c>
    </row>
    <row r="30" customFormat="false" ht="15" hidden="false" customHeight="false" outlineLevel="0" collapsed="false">
      <c r="B30" s="0" t="s">
        <v>182</v>
      </c>
      <c r="C30" s="13" t="n">
        <v>1000</v>
      </c>
      <c r="E30" s="8" t="s">
        <v>183</v>
      </c>
    </row>
    <row r="31" customFormat="false" ht="15" hidden="false" customHeight="false" outlineLevel="0" collapsed="false">
      <c r="B31" s="0" t="s">
        <v>184</v>
      </c>
      <c r="C31" s="13" t="n">
        <v>1800</v>
      </c>
      <c r="E31" s="8" t="s">
        <v>185</v>
      </c>
    </row>
    <row r="32" customFormat="false" ht="15" hidden="false" customHeight="false" outlineLevel="0" collapsed="false">
      <c r="B32" s="4" t="s">
        <v>186</v>
      </c>
      <c r="C32" s="5"/>
      <c r="D32" s="5"/>
      <c r="E32" s="5"/>
    </row>
    <row r="33" customFormat="false" ht="15" hidden="false" customHeight="false" outlineLevel="0" collapsed="false">
      <c r="B33" s="0" t="s">
        <v>187</v>
      </c>
      <c r="C33" s="13" t="n">
        <v>6400</v>
      </c>
      <c r="E33" s="8" t="s">
        <v>188</v>
      </c>
    </row>
    <row r="34" customFormat="false" ht="15" hidden="false" customHeight="false" outlineLevel="0" collapsed="false">
      <c r="B34" s="0" t="s">
        <v>189</v>
      </c>
      <c r="C34" s="13" t="n">
        <v>13500</v>
      </c>
      <c r="E34" s="8" t="s">
        <v>190</v>
      </c>
    </row>
    <row r="35" customFormat="false" ht="15" hidden="false" customHeight="false" outlineLevel="0" collapsed="false">
      <c r="B35" s="0" t="s">
        <v>191</v>
      </c>
      <c r="C35" s="13" t="n">
        <v>200</v>
      </c>
      <c r="E35" s="8" t="s">
        <v>192</v>
      </c>
    </row>
    <row r="36" customFormat="false" ht="15" hidden="false" customHeight="false" outlineLevel="0" collapsed="false">
      <c r="B36" s="0" t="s">
        <v>193</v>
      </c>
      <c r="C36" s="13" t="n">
        <v>1700</v>
      </c>
      <c r="E36" s="8" t="s">
        <v>194</v>
      </c>
    </row>
    <row r="37" customFormat="false" ht="15" hidden="false" customHeight="false" outlineLevel="0" collapsed="false">
      <c r="B37" s="0" t="s">
        <v>195</v>
      </c>
      <c r="C37" s="13" t="n">
        <v>6300</v>
      </c>
      <c r="E37" s="8" t="s">
        <v>196</v>
      </c>
    </row>
    <row r="38" customFormat="false" ht="15" hidden="false" customHeight="false" outlineLevel="0" collapsed="false">
      <c r="B38" s="0" t="s">
        <v>197</v>
      </c>
      <c r="C38" s="9" t="n">
        <v>0.37</v>
      </c>
      <c r="E38" s="8" t="s">
        <v>198</v>
      </c>
    </row>
    <row r="39" customFormat="false" ht="15" hidden="false" customHeight="false" outlineLevel="0" collapsed="false">
      <c r="B39" s="4" t="s">
        <v>199</v>
      </c>
      <c r="C39" s="5"/>
      <c r="D39" s="5"/>
      <c r="E39" s="5"/>
    </row>
    <row r="40" customFormat="false" ht="15" hidden="false" customHeight="false" outlineLevel="0" collapsed="false">
      <c r="B40" s="0" t="s">
        <v>200</v>
      </c>
      <c r="C40" s="9" t="n">
        <v>5.5</v>
      </c>
      <c r="E40" s="8" t="s">
        <v>201</v>
      </c>
    </row>
    <row r="41" customFormat="false" ht="15" hidden="false" customHeight="false" outlineLevel="0" collapsed="false">
      <c r="B41" s="0" t="s">
        <v>202</v>
      </c>
      <c r="C41" s="9" t="n">
        <v>7</v>
      </c>
      <c r="E41" s="8" t="s">
        <v>201</v>
      </c>
    </row>
    <row r="42" customFormat="false" ht="15" hidden="false" customHeight="false" outlineLevel="0" collapsed="false">
      <c r="B42" s="0" t="s">
        <v>203</v>
      </c>
      <c r="C42" s="9" t="n">
        <v>7</v>
      </c>
      <c r="E42" s="8" t="s">
        <v>204</v>
      </c>
    </row>
    <row r="43" customFormat="false" ht="15" hidden="false" customHeight="false" outlineLevel="0" collapsed="false">
      <c r="B43" s="0" t="s">
        <v>205</v>
      </c>
      <c r="C43" s="9" t="n">
        <v>0.5</v>
      </c>
      <c r="E43" s="8" t="s">
        <v>206</v>
      </c>
    </row>
    <row r="44" customFormat="false" ht="15" hidden="false" customHeight="false" outlineLevel="0" collapsed="false">
      <c r="B44" s="0" t="s">
        <v>207</v>
      </c>
      <c r="C44" s="9" t="n">
        <v>0.5</v>
      </c>
      <c r="E44" s="8" t="s">
        <v>206</v>
      </c>
    </row>
    <row r="45" customFormat="false" ht="15" hidden="false" customHeight="false" outlineLevel="0" collapsed="false">
      <c r="B45" s="0" t="s">
        <v>208</v>
      </c>
      <c r="C45" s="9" t="n">
        <v>0.5</v>
      </c>
      <c r="E45" s="8" t="s">
        <v>209</v>
      </c>
    </row>
    <row r="46" customFormat="false" ht="15" hidden="false" customHeight="false" outlineLevel="0" collapsed="false">
      <c r="B46" s="0" t="s">
        <v>210</v>
      </c>
      <c r="C46" s="13" t="n">
        <v>2400</v>
      </c>
      <c r="E46" s="8" t="s">
        <v>211</v>
      </c>
    </row>
    <row r="47" customFormat="false" ht="15" hidden="false" customHeight="false" outlineLevel="0" collapsed="false">
      <c r="B47" s="0" t="s">
        <v>212</v>
      </c>
      <c r="C47" s="13" t="n">
        <v>2000</v>
      </c>
      <c r="E47" s="8" t="s">
        <v>213</v>
      </c>
    </row>
    <row r="48" customFormat="false" ht="15" hidden="false" customHeight="false" outlineLevel="0" collapsed="false">
      <c r="B48" s="0" t="s">
        <v>214</v>
      </c>
      <c r="C48" s="9" t="n">
        <v>5</v>
      </c>
      <c r="E48" s="8" t="s">
        <v>215</v>
      </c>
    </row>
    <row r="49" customFormat="false" ht="15" hidden="false" customHeight="false" outlineLevel="0" collapsed="false">
      <c r="B49" s="0" t="s">
        <v>216</v>
      </c>
      <c r="C49" s="9" t="n">
        <v>0.6</v>
      </c>
      <c r="E49" s="8" t="s">
        <v>215</v>
      </c>
    </row>
    <row r="50" customFormat="false" ht="15" hidden="false" customHeight="false" outlineLevel="0" collapsed="false">
      <c r="B50" s="0" t="s">
        <v>217</v>
      </c>
      <c r="C50" s="9" t="n">
        <v>5</v>
      </c>
      <c r="E50" s="8" t="s">
        <v>218</v>
      </c>
    </row>
    <row r="51" customFormat="false" ht="15" hidden="false" customHeight="false" outlineLevel="0" collapsed="false">
      <c r="B51" s="4" t="s">
        <v>219</v>
      </c>
      <c r="C51" s="5"/>
      <c r="D51" s="5"/>
      <c r="E51" s="5"/>
    </row>
    <row r="52" customFormat="false" ht="15" hidden="false" customHeight="false" outlineLevel="0" collapsed="false">
      <c r="B52" s="0" t="s">
        <v>220</v>
      </c>
      <c r="C52" s="9" t="n">
        <v>50</v>
      </c>
      <c r="E52" s="8" t="s">
        <v>221</v>
      </c>
    </row>
    <row r="53" customFormat="false" ht="15" hidden="false" customHeight="false" outlineLevel="0" collapsed="false">
      <c r="B53" s="0" t="s">
        <v>222</v>
      </c>
      <c r="C53" s="9" t="n">
        <v>20</v>
      </c>
      <c r="E53" s="8" t="s">
        <v>223</v>
      </c>
    </row>
    <row r="54" customFormat="false" ht="15" hidden="false" customHeight="false" outlineLevel="0" collapsed="false">
      <c r="B54" s="0" t="s">
        <v>224</v>
      </c>
      <c r="C54" s="9" t="n">
        <v>650</v>
      </c>
      <c r="E54" s="8" t="s">
        <v>225</v>
      </c>
    </row>
    <row r="55" customFormat="false" ht="15" hidden="false" customHeight="false" outlineLevel="0" collapsed="false">
      <c r="B55" s="0" t="s">
        <v>226</v>
      </c>
      <c r="C55" s="9" t="n">
        <v>12</v>
      </c>
      <c r="E55" s="8" t="s">
        <v>227</v>
      </c>
    </row>
    <row r="56" customFormat="false" ht="15" hidden="false" customHeight="false" outlineLevel="0" collapsed="false">
      <c r="B56" s="0" t="s">
        <v>228</v>
      </c>
      <c r="C56" s="26" t="n">
        <v>9.4</v>
      </c>
      <c r="E56" s="8" t="s">
        <v>227</v>
      </c>
    </row>
    <row r="57" customFormat="false" ht="15" hidden="false" customHeight="false" outlineLevel="0" collapsed="false">
      <c r="B57" s="0" t="s">
        <v>229</v>
      </c>
      <c r="C57" s="9" t="n">
        <v>1</v>
      </c>
      <c r="E57" s="8" t="s">
        <v>230</v>
      </c>
    </row>
    <row r="58" customFormat="false" ht="15" hidden="false" customHeight="false" outlineLevel="0" collapsed="false">
      <c r="B58" s="0" t="s">
        <v>231</v>
      </c>
      <c r="C58" s="9" t="n">
        <v>2</v>
      </c>
      <c r="E58" s="8" t="s">
        <v>232</v>
      </c>
    </row>
    <row r="59" customFormat="false" ht="15" hidden="false" customHeight="false" outlineLevel="0" collapsed="false">
      <c r="B59" s="4" t="s">
        <v>233</v>
      </c>
      <c r="C59" s="5"/>
      <c r="D59" s="5"/>
      <c r="E59" s="5"/>
    </row>
    <row r="60" customFormat="false" ht="15" hidden="false" customHeight="false" outlineLevel="0" collapsed="false">
      <c r="B60" s="0" t="s">
        <v>234</v>
      </c>
      <c r="C60" s="13" t="n">
        <v>500</v>
      </c>
      <c r="E60" s="8" t="s">
        <v>235</v>
      </c>
    </row>
    <row r="61" customFormat="false" ht="15" hidden="false" customHeight="false" outlineLevel="0" collapsed="false">
      <c r="B61" s="0" t="s">
        <v>236</v>
      </c>
      <c r="C61" s="13" t="n">
        <v>400</v>
      </c>
      <c r="E61" s="8" t="s">
        <v>237</v>
      </c>
    </row>
    <row r="62" customFormat="false" ht="15" hidden="false" customHeight="false" outlineLevel="0" collapsed="false">
      <c r="B62" s="0" t="s">
        <v>238</v>
      </c>
      <c r="C62" s="13" t="n">
        <v>350</v>
      </c>
      <c r="E62" s="8" t="s">
        <v>239</v>
      </c>
    </row>
    <row r="63" customFormat="false" ht="15" hidden="false" customHeight="false" outlineLevel="0" collapsed="false">
      <c r="B63" s="0" t="s">
        <v>240</v>
      </c>
      <c r="C63" s="13" t="n">
        <v>45</v>
      </c>
      <c r="E63" s="8" t="s">
        <v>241</v>
      </c>
    </row>
    <row r="64" customFormat="false" ht="15" hidden="false" customHeight="false" outlineLevel="0" collapsed="false">
      <c r="B64" s="0" t="s">
        <v>242</v>
      </c>
      <c r="C64" s="13" t="n">
        <v>130</v>
      </c>
      <c r="E64" s="8" t="s">
        <v>243</v>
      </c>
    </row>
    <row r="65" customFormat="false" ht="15" hidden="false" customHeight="false" outlineLevel="0" collapsed="false">
      <c r="B65" s="4" t="s">
        <v>244</v>
      </c>
      <c r="C65" s="5"/>
      <c r="D65" s="5"/>
      <c r="E65" s="5"/>
    </row>
    <row r="66" customFormat="false" ht="15" hidden="false" customHeight="false" outlineLevel="0" collapsed="false">
      <c r="B66" s="0" t="s">
        <v>245</v>
      </c>
      <c r="C66" s="14" t="n">
        <v>0.005</v>
      </c>
      <c r="E66" s="8" t="s">
        <v>246</v>
      </c>
    </row>
    <row r="67" customFormat="false" ht="15" hidden="false" customHeight="false" outlineLevel="0" collapsed="false">
      <c r="B67" s="0" t="s">
        <v>247</v>
      </c>
      <c r="C67" s="14" t="n">
        <v>0.025</v>
      </c>
      <c r="E67" s="8" t="s">
        <v>248</v>
      </c>
    </row>
    <row r="68" customFormat="false" ht="15" hidden="false" customHeight="false" outlineLevel="0" collapsed="false">
      <c r="B68" s="0" t="s">
        <v>249</v>
      </c>
      <c r="C68" s="14" t="n">
        <v>0.14</v>
      </c>
      <c r="E68" s="8" t="s">
        <v>250</v>
      </c>
    </row>
    <row r="69" customFormat="false" ht="15" hidden="false" customHeight="false" outlineLevel="0" collapsed="false">
      <c r="B69" s="4" t="s">
        <v>251</v>
      </c>
      <c r="C69" s="5"/>
      <c r="D69" s="5"/>
      <c r="E69" s="5"/>
    </row>
    <row r="70" customFormat="false" ht="15" hidden="false" customHeight="false" outlineLevel="0" collapsed="false">
      <c r="B70" s="0" t="s">
        <v>252</v>
      </c>
      <c r="C70" s="13" t="n">
        <v>40</v>
      </c>
      <c r="E70" s="8" t="s">
        <v>253</v>
      </c>
    </row>
    <row r="71" customFormat="false" ht="15" hidden="false" customHeight="false" outlineLevel="0" collapsed="false">
      <c r="B71" s="0" t="s">
        <v>254</v>
      </c>
      <c r="C71" s="13" t="n">
        <v>45</v>
      </c>
      <c r="E71" s="8" t="s">
        <v>255</v>
      </c>
    </row>
    <row r="72" customFormat="false" ht="15" hidden="false" customHeight="false" outlineLevel="0" collapsed="false">
      <c r="B72" s="0" t="s">
        <v>256</v>
      </c>
      <c r="C72" s="13" t="n">
        <v>50</v>
      </c>
      <c r="E72" s="8" t="s">
        <v>257</v>
      </c>
    </row>
    <row r="74" customFormat="false" ht="15" hidden="false" customHeight="false" outlineLevel="0" collapsed="false">
      <c r="B74" s="4" t="s">
        <v>258</v>
      </c>
      <c r="C74" s="5"/>
      <c r="D74" s="5"/>
      <c r="E74" s="5"/>
    </row>
    <row r="75" customFormat="false" ht="15" hidden="false" customHeight="false" outlineLevel="0" collapsed="false">
      <c r="B75" s="11" t="s">
        <v>259</v>
      </c>
      <c r="C75" s="11" t="s">
        <v>260</v>
      </c>
      <c r="D75" s="11" t="s">
        <v>261</v>
      </c>
    </row>
    <row r="76" customFormat="false" ht="15" hidden="false" customHeight="false" outlineLevel="0" collapsed="false">
      <c r="B76" s="0" t="n">
        <v>175</v>
      </c>
      <c r="C76" s="27" t="n">
        <v>0</v>
      </c>
      <c r="D76" s="28" t="n">
        <v>2000</v>
      </c>
    </row>
    <row r="77" customFormat="false" ht="15" hidden="false" customHeight="false" outlineLevel="0" collapsed="false">
      <c r="B77" s="0" t="n">
        <v>180</v>
      </c>
      <c r="C77" s="27" t="n">
        <v>500</v>
      </c>
      <c r="D77" s="28" t="n">
        <v>2000</v>
      </c>
    </row>
    <row r="78" customFormat="false" ht="15" hidden="false" customHeight="false" outlineLevel="0" collapsed="false">
      <c r="B78" s="0" t="n">
        <v>185</v>
      </c>
      <c r="C78" s="27" t="n">
        <v>550</v>
      </c>
      <c r="D78" s="28" t="n">
        <v>2000</v>
      </c>
    </row>
    <row r="79" customFormat="false" ht="15" hidden="false" customHeight="false" outlineLevel="0" collapsed="false">
      <c r="B79" s="0" t="n">
        <v>190</v>
      </c>
      <c r="C79" s="27" t="n">
        <v>600</v>
      </c>
      <c r="D79" s="28" t="n">
        <v>2000</v>
      </c>
    </row>
    <row r="80" customFormat="false" ht="15" hidden="false" customHeight="false" outlineLevel="0" collapsed="false">
      <c r="B80" s="0" t="n">
        <v>195</v>
      </c>
      <c r="C80" s="27" t="n">
        <v>650</v>
      </c>
      <c r="D80" s="28" t="n">
        <v>2000</v>
      </c>
    </row>
    <row r="81" customFormat="false" ht="15" hidden="false" customHeight="false" outlineLevel="0" collapsed="false">
      <c r="B81" s="0" t="n">
        <v>200</v>
      </c>
      <c r="C81" s="27" t="n">
        <v>700</v>
      </c>
      <c r="D81" s="28" t="n">
        <v>2000</v>
      </c>
    </row>
    <row r="82" customFormat="false" ht="15" hidden="false" customHeight="false" outlineLevel="0" collapsed="false">
      <c r="B82" s="0" t="n">
        <v>210</v>
      </c>
      <c r="C82" s="27" t="n">
        <v>750</v>
      </c>
      <c r="D82" s="28" t="n">
        <v>2250</v>
      </c>
    </row>
    <row r="83" customFormat="false" ht="15" hidden="false" customHeight="false" outlineLevel="0" collapsed="false">
      <c r="B83" s="0" t="n">
        <v>220</v>
      </c>
      <c r="C83" s="27" t="n">
        <v>800</v>
      </c>
      <c r="D83" s="28" t="n">
        <v>2250</v>
      </c>
    </row>
    <row r="84" customFormat="false" ht="15" hidden="false" customHeight="false" outlineLevel="0" collapsed="false">
      <c r="B84" s="0" t="n">
        <v>225</v>
      </c>
      <c r="C84" s="27" t="n">
        <v>850</v>
      </c>
      <c r="D84" s="28" t="n">
        <v>2250</v>
      </c>
    </row>
    <row r="86" customFormat="false" ht="15" hidden="false" customHeight="false" outlineLevel="0" collapsed="false">
      <c r="B86" s="4" t="s">
        <v>262</v>
      </c>
      <c r="C86" s="5"/>
      <c r="D86" s="5"/>
      <c r="E86" s="5"/>
      <c r="F86" s="5"/>
    </row>
    <row r="87" customFormat="false" ht="15" hidden="false" customHeight="false" outlineLevel="0" collapsed="false">
      <c r="B87" s="11" t="s">
        <v>263</v>
      </c>
      <c r="C87" s="11" t="s">
        <v>264</v>
      </c>
      <c r="D87" s="11" t="s">
        <v>265</v>
      </c>
      <c r="E87" s="11" t="s">
        <v>266</v>
      </c>
      <c r="F87" s="11" t="s">
        <v>267</v>
      </c>
    </row>
    <row r="88" customFormat="false" ht="15" hidden="false" customHeight="false" outlineLevel="0" collapsed="false">
      <c r="B88" s="0" t="s">
        <v>268</v>
      </c>
      <c r="C88" s="29" t="n">
        <v>45</v>
      </c>
      <c r="D88" s="28" t="n">
        <v>9.6</v>
      </c>
      <c r="E88" s="28" t="n">
        <v>9.6</v>
      </c>
      <c r="F88" s="30" t="s">
        <v>269</v>
      </c>
    </row>
    <row r="89" customFormat="false" ht="15" hidden="false" customHeight="false" outlineLevel="0" collapsed="false">
      <c r="B89" s="0" t="s">
        <v>270</v>
      </c>
      <c r="C89" s="29" t="n">
        <v>8</v>
      </c>
      <c r="D89" s="28" t="n">
        <v>4</v>
      </c>
      <c r="E89" s="28" t="n">
        <v>4</v>
      </c>
      <c r="F89" s="30" t="s">
        <v>269</v>
      </c>
    </row>
    <row r="90" customFormat="false" ht="15" hidden="false" customHeight="false" outlineLevel="0" collapsed="false">
      <c r="B90" s="0" t="s">
        <v>271</v>
      </c>
      <c r="C90" s="29" t="n">
        <v>36</v>
      </c>
      <c r="D90" s="28" t="n">
        <v>2</v>
      </c>
      <c r="E90" s="28" t="n">
        <v>2</v>
      </c>
      <c r="F90" s="30" t="s">
        <v>269</v>
      </c>
    </row>
    <row r="91" customFormat="false" ht="15" hidden="false" customHeight="false" outlineLevel="0" collapsed="false">
      <c r="B91" s="0" t="s">
        <v>272</v>
      </c>
      <c r="C91" s="29" t="n">
        <v>90</v>
      </c>
      <c r="D91" s="28" t="n">
        <v>2</v>
      </c>
      <c r="E91" s="28" t="n">
        <v>2</v>
      </c>
      <c r="F91" s="30" t="s">
        <v>269</v>
      </c>
    </row>
    <row r="92" customFormat="false" ht="15" hidden="false" customHeight="false" outlineLevel="0" collapsed="false">
      <c r="B92" s="0" t="s">
        <v>273</v>
      </c>
      <c r="C92" s="29" t="n">
        <v>207.28</v>
      </c>
      <c r="D92" s="28" t="n">
        <v>2</v>
      </c>
      <c r="E92" s="28" t="n">
        <v>2</v>
      </c>
      <c r="F92" s="30" t="s">
        <v>269</v>
      </c>
    </row>
    <row r="93" customFormat="false" ht="15" hidden="false" customHeight="false" outlineLevel="0" collapsed="false">
      <c r="B93" s="0" t="s">
        <v>274</v>
      </c>
      <c r="C93" s="29" t="n">
        <v>40.14</v>
      </c>
      <c r="D93" s="28" t="n">
        <v>2</v>
      </c>
      <c r="E93" s="28" t="n">
        <v>2</v>
      </c>
      <c r="F93" s="30" t="s">
        <v>269</v>
      </c>
    </row>
    <row r="94" customFormat="false" ht="15" hidden="false" customHeight="false" outlineLevel="0" collapsed="false">
      <c r="B94" s="0" t="s">
        <v>275</v>
      </c>
      <c r="C94" s="29" t="n">
        <v>3.3</v>
      </c>
      <c r="D94" s="28" t="n">
        <v>2</v>
      </c>
      <c r="E94" s="28" t="n">
        <v>2</v>
      </c>
      <c r="F94" s="30" t="s">
        <v>269</v>
      </c>
    </row>
    <row r="95" customFormat="false" ht="15" hidden="false" customHeight="false" outlineLevel="0" collapsed="false">
      <c r="B95" s="0" t="s">
        <v>276</v>
      </c>
      <c r="C95" s="29" t="n">
        <v>10.8</v>
      </c>
      <c r="D95" s="28" t="n">
        <v>2</v>
      </c>
      <c r="E95" s="28" t="n">
        <v>2</v>
      </c>
      <c r="F95" s="30" t="s">
        <v>269</v>
      </c>
    </row>
    <row r="96" customFormat="false" ht="15" hidden="false" customHeight="false" outlineLevel="0" collapsed="false">
      <c r="B96" s="0" t="s">
        <v>277</v>
      </c>
      <c r="C96" s="29" t="n">
        <v>10.95</v>
      </c>
      <c r="D96" s="28" t="n">
        <v>2</v>
      </c>
      <c r="E96" s="28" t="n">
        <v>2</v>
      </c>
      <c r="F96" s="30" t="s">
        <v>269</v>
      </c>
    </row>
    <row r="97" customFormat="false" ht="15" hidden="false" customHeight="false" outlineLevel="0" collapsed="false">
      <c r="B97" s="0" t="s">
        <v>278</v>
      </c>
      <c r="C97" s="29" t="n">
        <v>3.81</v>
      </c>
      <c r="D97" s="28" t="n">
        <v>2</v>
      </c>
      <c r="E97" s="28" t="n">
        <v>2</v>
      </c>
      <c r="F97" s="30" t="s">
        <v>269</v>
      </c>
    </row>
    <row r="98" customFormat="false" ht="15" hidden="false" customHeight="false" outlineLevel="0" collapsed="false">
      <c r="B98" s="0" t="s">
        <v>279</v>
      </c>
      <c r="C98" s="29" t="n">
        <v>2.84</v>
      </c>
      <c r="D98" s="28" t="n">
        <v>4</v>
      </c>
      <c r="E98" s="28" t="n">
        <v>4</v>
      </c>
      <c r="F98" s="30" t="s">
        <v>269</v>
      </c>
    </row>
    <row r="99" customFormat="false" ht="15" hidden="false" customHeight="false" outlineLevel="0" collapsed="false">
      <c r="B99" s="0" t="s">
        <v>280</v>
      </c>
      <c r="C99" s="29" t="n">
        <v>4.4</v>
      </c>
      <c r="D99" s="28" t="n">
        <v>4</v>
      </c>
      <c r="E99" s="28" t="n">
        <v>4</v>
      </c>
      <c r="F99" s="30" t="s">
        <v>269</v>
      </c>
    </row>
    <row r="100" customFormat="false" ht="15" hidden="false" customHeight="false" outlineLevel="0" collapsed="false">
      <c r="B100" s="0" t="s">
        <v>281</v>
      </c>
      <c r="C100" s="29" t="n">
        <f aca="false">2*25.71+2*22.85</f>
        <v>97.12</v>
      </c>
      <c r="D100" s="28" t="n">
        <v>1</v>
      </c>
      <c r="E100" s="28" t="n">
        <v>1</v>
      </c>
      <c r="F100" s="30" t="s">
        <v>269</v>
      </c>
    </row>
    <row r="101" customFormat="false" ht="15" hidden="false" customHeight="false" outlineLevel="0" collapsed="false">
      <c r="B101" s="0" t="s">
        <v>282</v>
      </c>
      <c r="C101" s="29" t="n">
        <v>345</v>
      </c>
      <c r="D101" s="28" t="n">
        <v>1</v>
      </c>
      <c r="E101" s="28" t="n">
        <v>0</v>
      </c>
      <c r="F101" s="30" t="s">
        <v>269</v>
      </c>
    </row>
    <row r="102" customFormat="false" ht="15" hidden="false" customHeight="false" outlineLevel="0" collapsed="false">
      <c r="B102" s="0" t="s">
        <v>283</v>
      </c>
      <c r="C102" s="29" t="n">
        <v>546</v>
      </c>
      <c r="D102" s="28" t="n">
        <v>0</v>
      </c>
      <c r="E102" s="28" t="n">
        <v>1</v>
      </c>
      <c r="F102" s="30" t="s">
        <v>269</v>
      </c>
    </row>
    <row r="103" customFormat="false" ht="15" hidden="false" customHeight="false" outlineLevel="0" collapsed="false">
      <c r="B103" s="0" t="s">
        <v>284</v>
      </c>
      <c r="C103" s="29" t="n">
        <v>2.98</v>
      </c>
      <c r="D103" s="28" t="n">
        <v>110</v>
      </c>
      <c r="E103" s="28" t="n">
        <v>208</v>
      </c>
      <c r="F103" s="30" t="s">
        <v>269</v>
      </c>
    </row>
    <row r="104" customFormat="false" ht="15" hidden="false" customHeight="false" outlineLevel="0" collapsed="false">
      <c r="B104" s="0" t="s">
        <v>285</v>
      </c>
      <c r="C104" s="29" t="n">
        <f aca="false">3.09+4.99</f>
        <v>8.08</v>
      </c>
      <c r="D104" s="28" t="n">
        <v>20</v>
      </c>
      <c r="E104" s="28" t="n">
        <v>20</v>
      </c>
      <c r="F104" s="30" t="s">
        <v>269</v>
      </c>
    </row>
    <row r="105" customFormat="false" ht="15" hidden="false" customHeight="false" outlineLevel="0" collapsed="false">
      <c r="B105" s="0" t="s">
        <v>286</v>
      </c>
      <c r="C105" s="29" t="n">
        <v>5.4</v>
      </c>
      <c r="D105" s="28" t="n">
        <v>1</v>
      </c>
      <c r="E105" s="28" t="n">
        <v>1</v>
      </c>
      <c r="F105" s="30" t="s">
        <v>269</v>
      </c>
    </row>
    <row r="106" customFormat="false" ht="15" hidden="false" customHeight="false" outlineLevel="0" collapsed="false">
      <c r="B106" s="0" t="s">
        <v>287</v>
      </c>
      <c r="C106" s="29" t="n">
        <v>300</v>
      </c>
      <c r="D106" s="28" t="n">
        <v>1</v>
      </c>
      <c r="E106" s="28" t="n">
        <v>1</v>
      </c>
      <c r="F106" s="30" t="s">
        <v>269</v>
      </c>
    </row>
    <row r="107" customFormat="false" ht="15" hidden="false" customHeight="false" outlineLevel="0" collapsed="false">
      <c r="B107" s="0" t="s">
        <v>288</v>
      </c>
      <c r="C107" s="29" t="n">
        <v>40</v>
      </c>
      <c r="D107" s="28" t="n">
        <v>1</v>
      </c>
      <c r="E107" s="28" t="n">
        <v>1</v>
      </c>
      <c r="F107" s="30" t="s">
        <v>269</v>
      </c>
    </row>
    <row r="108" customFormat="false" ht="15" hidden="false" customHeight="false" outlineLevel="0" collapsed="false">
      <c r="B108" s="0" t="s">
        <v>289</v>
      </c>
      <c r="C108" s="29" t="n">
        <v>172</v>
      </c>
      <c r="D108" s="28" t="n">
        <v>1</v>
      </c>
      <c r="E108" s="28" t="n">
        <v>0</v>
      </c>
      <c r="F108" s="30" t="s">
        <v>159</v>
      </c>
    </row>
    <row r="109" customFormat="false" ht="15" hidden="false" customHeight="false" outlineLevel="0" collapsed="false">
      <c r="B109" s="0" t="s">
        <v>290</v>
      </c>
      <c r="C109" s="29" t="n">
        <v>207</v>
      </c>
      <c r="D109" s="28" t="n">
        <v>0</v>
      </c>
      <c r="E109" s="28" t="n">
        <v>1</v>
      </c>
      <c r="F109" s="30" t="s">
        <v>159</v>
      </c>
    </row>
    <row r="110" customFormat="false" ht="15" hidden="false" customHeight="false" outlineLevel="0" collapsed="false">
      <c r="B110" s="0" t="s">
        <v>291</v>
      </c>
      <c r="C110" s="29" t="n">
        <f aca="false">120+55+65</f>
        <v>240</v>
      </c>
      <c r="D110" s="28" t="n">
        <v>1</v>
      </c>
      <c r="E110" s="28" t="n">
        <v>1</v>
      </c>
      <c r="F110" s="30" t="s">
        <v>159</v>
      </c>
    </row>
    <row r="111" customFormat="false" ht="15" hidden="false" customHeight="false" outlineLevel="0" collapsed="false">
      <c r="B111" s="0" t="s">
        <v>292</v>
      </c>
      <c r="C111" s="29" t="n">
        <f aca="false">50+40</f>
        <v>90</v>
      </c>
      <c r="D111" s="28" t="n">
        <v>1</v>
      </c>
      <c r="E111" s="28" t="n">
        <v>1</v>
      </c>
      <c r="F111" s="30" t="s">
        <v>293</v>
      </c>
    </row>
    <row r="112" customFormat="false" ht="15" hidden="false" customHeight="false" outlineLevel="0" collapsed="false">
      <c r="B112" s="0" t="s">
        <v>294</v>
      </c>
      <c r="C112" s="29" t="n">
        <f aca="false">14+9+25+5+9+30</f>
        <v>92</v>
      </c>
      <c r="D112" s="28" t="n">
        <v>1</v>
      </c>
      <c r="E112" s="28" t="n">
        <v>0</v>
      </c>
      <c r="F112" s="30" t="s">
        <v>293</v>
      </c>
    </row>
    <row r="113" customFormat="false" ht="15" hidden="false" customHeight="false" outlineLevel="0" collapsed="false">
      <c r="B113" s="0" t="s">
        <v>295</v>
      </c>
      <c r="C113" s="29" t="n">
        <f aca="false">14+18+25+7+18+30</f>
        <v>112</v>
      </c>
      <c r="D113" s="28" t="n">
        <v>0</v>
      </c>
      <c r="E113" s="28" t="n">
        <v>1</v>
      </c>
      <c r="F113" s="30" t="s">
        <v>293</v>
      </c>
    </row>
    <row r="114" customFormat="false" ht="15" hidden="false" customHeight="false" outlineLevel="0" collapsed="false">
      <c r="B114" s="0" t="s">
        <v>296</v>
      </c>
      <c r="C114" s="29" t="n">
        <f aca="false">70+14+34+32+20</f>
        <v>170</v>
      </c>
      <c r="D114" s="28" t="n">
        <v>1</v>
      </c>
      <c r="E114" s="28" t="n">
        <v>1</v>
      </c>
      <c r="F114" s="30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7" min="3" style="0" width="14"/>
    <col collapsed="false" customWidth="true" hidden="false" outlineLevel="0" max="8" min="8" style="0" width="3"/>
    <col collapsed="false" customWidth="true" hidden="false" outlineLevel="0" max="14" min="9" style="0" width="14"/>
  </cols>
  <sheetData>
    <row r="2" customFormat="false" ht="24" hidden="false" customHeight="true" outlineLevel="0" collapsed="false">
      <c r="B2" s="1" t="s">
        <v>297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4" t="s">
        <v>298</v>
      </c>
      <c r="C4" s="5"/>
    </row>
    <row r="5" customFormat="false" ht="15" hidden="false" customHeight="false" outlineLevel="0" collapsed="false">
      <c r="B5" s="0" t="s">
        <v>299</v>
      </c>
      <c r="C5" s="31" t="n">
        <f aca="false">c_cena_D+IF(in_typ="NK37",c_doplata_NK37,0)</f>
        <v>32500</v>
      </c>
    </row>
    <row r="6" customFormat="false" ht="15" hidden="false" customHeight="false" outlineLevel="0" collapsed="false">
      <c r="B6" s="0" t="s">
        <v>300</v>
      </c>
      <c r="C6" s="31" t="n">
        <f aca="false">c_wsp_S*m_cena_D</f>
        <v>19825</v>
      </c>
    </row>
    <row r="7" customFormat="false" ht="15" hidden="false" customHeight="false" outlineLevel="0" collapsed="false">
      <c r="B7" s="0" t="s">
        <v>301</v>
      </c>
      <c r="C7" s="31" t="n">
        <f aca="false">c_wsp_NP*m_cena_D</f>
        <v>27625</v>
      </c>
    </row>
    <row r="8" customFormat="false" ht="15" hidden="false" customHeight="false" outlineLevel="0" collapsed="false">
      <c r="B8" s="0" t="s">
        <v>302</v>
      </c>
      <c r="C8" s="32" t="n">
        <f aca="false">in_D+in_NP</f>
        <v>0</v>
      </c>
    </row>
    <row r="9" customFormat="false" ht="15" hidden="false" customHeight="false" outlineLevel="0" collapsed="false">
      <c r="B9" s="0" t="s">
        <v>303</v>
      </c>
      <c r="C9" s="32" t="n">
        <f aca="false">in_S+in_D+in_NP</f>
        <v>0</v>
      </c>
    </row>
    <row r="10" customFormat="false" ht="15" hidden="false" customHeight="false" outlineLevel="0" collapsed="false">
      <c r="B10" s="0" t="s">
        <v>304</v>
      </c>
      <c r="C10" s="32" t="n">
        <f aca="false">2*in_S+2*in_NP+4*in_D</f>
        <v>0</v>
      </c>
    </row>
    <row r="11" customFormat="false" ht="15" hidden="false" customHeight="false" outlineLevel="0" collapsed="false">
      <c r="B11" s="0" t="s">
        <v>305</v>
      </c>
      <c r="C11" s="31" t="n">
        <f aca="false">m_cena_S*in_S+c_szer_260*in_szer1_S+c_szer_270*in_szer2_S+SUMPRODUCT(in_gl_S,t_gl_doplata)+c_dl_500*in_dl500_S+CEILING(m_cena_S*c_dl_wsp*10,100)*in_dl540_S+CEILING(m_cena_S*c_dl_wsp*20,100)*in_dl550_S</f>
        <v>0</v>
      </c>
    </row>
    <row r="12" customFormat="false" ht="15" hidden="false" customHeight="false" outlineLevel="0" collapsed="false">
      <c r="B12" s="0" t="s">
        <v>306</v>
      </c>
      <c r="C12" s="31" t="n">
        <f aca="false">m_cena_D*in_D+c_szer_520*in_szer1_D+c_szer_540*in_szer2_D+SUMPRODUCT(in_gl_D,t_gl_doplata)+c_dl_500*in_dl500_D+m_cena_D*c_dl_wsp*10*in_dl540_D+m_cena_D*c_dl_wsp*20*in_dl550_D</f>
        <v>0</v>
      </c>
    </row>
    <row r="13" customFormat="false" ht="15" hidden="false" customHeight="false" outlineLevel="0" collapsed="false">
      <c r="B13" s="0" t="s">
        <v>307</v>
      </c>
      <c r="C13" s="31" t="n">
        <f aca="false">m_cena_NP*in_NP</f>
        <v>0</v>
      </c>
    </row>
    <row r="14" customFormat="false" ht="15" hidden="false" customHeight="false" outlineLevel="0" collapsed="false">
      <c r="B14" s="0" t="s">
        <v>308</v>
      </c>
      <c r="C14" s="32" t="n">
        <f aca="false">SUMPRODUCT((t_gl_silownik=2000)*(in_gl_S+in_gl_D))</f>
        <v>0</v>
      </c>
    </row>
    <row r="15" customFormat="false" ht="15" hidden="false" customHeight="false" outlineLevel="0" collapsed="false">
      <c r="B15" s="0" t="s">
        <v>309</v>
      </c>
      <c r="C15" s="32" t="n">
        <f aca="false">SUMPRODUCT((t_gl_silownik=2250)*(in_gl_S+in_gl_D))</f>
        <v>0</v>
      </c>
    </row>
    <row r="16" customFormat="false" ht="15" hidden="false" customHeight="false" outlineLevel="0" collapsed="false">
      <c r="B16" s="0" t="s">
        <v>310</v>
      </c>
      <c r="C16" s="32" t="n">
        <f aca="false">m_platformy-m_sil_2000-m_sil_2250</f>
        <v>0</v>
      </c>
    </row>
    <row r="17" customFormat="false" ht="15" hidden="false" customHeight="false" outlineLevel="0" collapsed="false">
      <c r="B17" s="0" t="s">
        <v>159</v>
      </c>
      <c r="C17" s="31" t="n">
        <f aca="false">in_agregaty*(c_agregat+c_hydr_drobne+c_olej+c_transp_agregatu)+m_platformy*c_transp_silownikow+2*(c_sil_1700*m_sil_std+c_sil_2000*m_sil_2000+c_sil_2250*m_sil_2250)+in_magistrala*c_magistrala+SUMPRODUCT((t_sk_grupa="Hydraulika")*t_sk_cena*(t_sk_S*in_S+t_sk_D*m_DN))</f>
        <v>0</v>
      </c>
    </row>
    <row r="18" customFormat="false" ht="15" hidden="false" customHeight="false" outlineLevel="0" collapsed="false">
      <c r="B18" s="0" t="s">
        <v>311</v>
      </c>
      <c r="C18" s="31" t="n">
        <f aca="false">in_barierki*c_barierka+in_maskownice*c_maskownica</f>
        <v>0</v>
      </c>
    </row>
    <row r="19" customFormat="false" ht="15" hidden="false" customHeight="false" outlineLevel="0" collapsed="false">
      <c r="B19" s="0" t="s">
        <v>293</v>
      </c>
      <c r="C19" s="31" t="n">
        <f aca="false">in_agregaty*c_skrzynka_zasil+SUMPRODUCT((t_sk_grupa="Elektryka")*t_sk_cena*(t_sk_S*in_S+t_sk_D*m_DN))</f>
        <v>0</v>
      </c>
    </row>
    <row r="20" customFormat="false" ht="15" hidden="false" customHeight="false" outlineLevel="0" collapsed="false">
      <c r="B20" s="0" t="s">
        <v>312</v>
      </c>
      <c r="C20" s="31" t="n">
        <f aca="false">in_agregaty*c_admin+SUMPRODUCT((t_sk_grupa="Mechanika")*t_sk_cena*(t_sk_S*in_S+t_sk_D*m_DN))</f>
        <v>0</v>
      </c>
    </row>
    <row r="21" customFormat="false" ht="15" hidden="false" customHeight="false" outlineLevel="0" collapsed="false">
      <c r="B21" s="11" t="s">
        <v>313</v>
      </c>
      <c r="C21" s="33" t="n">
        <f aca="false">m_plat_S+m_plat_D+m_plat_NP+m_hydraulika+m_barierki+m_elektryka+m_mechanika</f>
        <v>0</v>
      </c>
    </row>
    <row r="22" customFormat="false" ht="15" hidden="false" customHeight="false" outlineLevel="0" collapsed="false">
      <c r="B22" s="11" t="s">
        <v>314</v>
      </c>
      <c r="C22" s="33" t="n">
        <f aca="false">m_suma_2000*(1+in_q2500)</f>
        <v>0</v>
      </c>
    </row>
    <row r="23" customFormat="false" ht="15" hidden="false" customHeight="false" outlineLevel="0" collapsed="false">
      <c r="B23" s="0" t="s">
        <v>315</v>
      </c>
      <c r="C23" s="31" t="n">
        <f aca="false">c_mal_S*in_S+c_mal_D*m_DN+c_mal_bar*in_barierki</f>
        <v>0</v>
      </c>
    </row>
    <row r="24" customFormat="false" ht="15" hidden="false" customHeight="false" outlineLevel="0" collapsed="false">
      <c r="B24" s="0" t="s">
        <v>316</v>
      </c>
      <c r="C24" s="34" t="n">
        <f aca="false">ROUNDUP(in_magistrala*c_osd_magistrala+(in_barierki+in_maskownice)*c_osd_barierka,0)</f>
        <v>0</v>
      </c>
    </row>
    <row r="25" customFormat="false" ht="15" hidden="false" customHeight="false" outlineLevel="0" collapsed="false">
      <c r="B25" s="0" t="s">
        <v>317</v>
      </c>
      <c r="C25" s="34" t="n">
        <f aca="false">m_utr_auto+in_utr_dod</f>
        <v>0</v>
      </c>
    </row>
    <row r="27" customFormat="false" ht="15" hidden="false" customHeight="false" outlineLevel="0" collapsed="false">
      <c r="B27" s="4" t="s">
        <v>318</v>
      </c>
      <c r="C27" s="5"/>
    </row>
    <row r="28" customFormat="false" ht="15" hidden="false" customHeight="false" outlineLevel="0" collapsed="false">
      <c r="B28" s="0" t="s">
        <v>319</v>
      </c>
      <c r="C28" s="35" t="b">
        <f aca="false">in_lok="Kraków"</f>
        <v>0</v>
      </c>
    </row>
    <row r="29" customFormat="false" ht="15" hidden="false" customHeight="false" outlineLevel="0" collapsed="false">
      <c r="B29" s="0" t="s">
        <v>320</v>
      </c>
      <c r="C29" s="34" t="n">
        <f aca="false">IF(ISBLANK(in_km_pom),IF(e_krk,c_km_krakow,in_km),in_km_pom)</f>
        <v>0</v>
      </c>
    </row>
    <row r="30" customFormat="false" ht="15" hidden="false" customHeight="false" outlineLevel="0" collapsed="false">
      <c r="B30" s="0" t="s">
        <v>321</v>
      </c>
      <c r="C30" s="34" t="n">
        <f aca="false">IF(ISBLANK(in_km_mon),IF(e_krk,c_km_krakow,in_km+c_km_dodatek),in_km_mon)</f>
        <v>50</v>
      </c>
    </row>
    <row r="31" customFormat="false" ht="15" hidden="false" customHeight="false" outlineLevel="0" collapsed="false">
      <c r="B31" s="0" t="s">
        <v>322</v>
      </c>
      <c r="C31" s="34" t="n">
        <f aca="false">IF(ISBLANK(in_rozl_dni),c_rozl_TIR*in_tir,in_rozl_dni)</f>
        <v>0</v>
      </c>
    </row>
    <row r="32" customFormat="false" ht="15" hidden="false" customHeight="false" outlineLevel="0" collapsed="false">
      <c r="B32" s="0" t="s">
        <v>323</v>
      </c>
      <c r="C32" s="34" t="n">
        <f aca="false">(c_pomiary_osoby+c_odbiory_osoby)*IF(in_wzor="Uproszczony",2*e_km_pom/c_km_dzien*1,(1+0.1*MAX(0,800-e_km_pom)/100)*e_km_pom*1/500)</f>
        <v>0</v>
      </c>
    </row>
    <row r="33" customFormat="false" ht="15" hidden="false" customHeight="false" outlineLevel="0" collapsed="false">
      <c r="B33" s="0" t="s">
        <v>324</v>
      </c>
      <c r="C33" s="32" t="n">
        <f aca="false">ROUNDUP(m_DN/c_dzwig_D+in_S*c_dzwig_wspS/c_dzwig_D,0)</f>
        <v>0</v>
      </c>
    </row>
    <row r="34" customFormat="false" ht="15" hidden="false" customHeight="false" outlineLevel="0" collapsed="false">
      <c r="B34" s="0" t="s">
        <v>325</v>
      </c>
      <c r="C34" s="36" t="n">
        <f aca="false">(1+c_podatek*(c_gdw+in_zysk))/(1-(c_kob+c_gdw+in_zysk))</f>
        <v>1.20828402366864</v>
      </c>
    </row>
    <row r="36" customFormat="false" ht="15" hidden="false" customHeight="false" outlineLevel="0" collapsed="false">
      <c r="B36" s="4" t="s">
        <v>326</v>
      </c>
      <c r="C36" s="5"/>
      <c r="D36" s="5"/>
      <c r="E36" s="5"/>
      <c r="F36" s="5"/>
      <c r="G36" s="5"/>
      <c r="H36" s="5"/>
      <c r="I36" s="4" t="s">
        <v>327</v>
      </c>
      <c r="J36" s="5"/>
      <c r="K36" s="5"/>
      <c r="L36" s="5"/>
      <c r="M36" s="5"/>
      <c r="N36" s="5"/>
    </row>
    <row r="37" customFormat="false" ht="28.35" hidden="false" customHeight="false" outlineLevel="0" collapsed="false">
      <c r="B37" s="11" t="s">
        <v>328</v>
      </c>
      <c r="D37" s="37" t="s">
        <v>72</v>
      </c>
      <c r="E37" s="37" t="s">
        <v>76</v>
      </c>
      <c r="F37" s="37" t="s">
        <v>77</v>
      </c>
      <c r="G37" s="37" t="s">
        <v>78</v>
      </c>
      <c r="I37" s="37" t="s">
        <v>101</v>
      </c>
      <c r="J37" s="37" t="s">
        <v>102</v>
      </c>
      <c r="K37" s="37" t="s">
        <v>103</v>
      </c>
      <c r="L37" s="37" t="s">
        <v>104</v>
      </c>
      <c r="M37" s="37" t="s">
        <v>105</v>
      </c>
      <c r="N37" s="37" t="s">
        <v>106</v>
      </c>
    </row>
    <row r="38" customFormat="false" ht="15" hidden="false" customHeight="false" outlineLevel="0" collapsed="false">
      <c r="B38" s="0" t="s">
        <v>329</v>
      </c>
      <c r="D38" s="32" t="n">
        <v>0</v>
      </c>
      <c r="E38" s="32" t="n">
        <v>1</v>
      </c>
      <c r="F38" s="32" t="n">
        <v>0</v>
      </c>
      <c r="G38" s="32" t="n">
        <v>1</v>
      </c>
      <c r="I38" s="32" t="n">
        <f aca="false">IF(LEFT(in_analiza,4)="2500",1,0)</f>
        <v>0</v>
      </c>
      <c r="J38" s="32" t="n">
        <f aca="false">IF(LEFT(in_analiza,4)="2500",1,0)</f>
        <v>0</v>
      </c>
      <c r="K38" s="32" t="n">
        <f aca="false">IF(LEFT(in_analiza,4)="2500",1,0)</f>
        <v>0</v>
      </c>
      <c r="L38" s="32" t="n">
        <f aca="false">IF(LEFT(in_analiza,4)="2500",1,0)</f>
        <v>0</v>
      </c>
      <c r="M38" s="32" t="n">
        <f aca="false">IF(LEFT(in_analiza,4)="2500",1,0)</f>
        <v>0</v>
      </c>
      <c r="N38" s="32" t="n">
        <f aca="false">IF(LEFT(in_analiza,4)="2500",1,0)</f>
        <v>0</v>
      </c>
    </row>
    <row r="39" customFormat="false" ht="15" hidden="false" customHeight="false" outlineLevel="0" collapsed="false">
      <c r="B39" s="0" t="s">
        <v>330</v>
      </c>
      <c r="D39" s="32" t="n">
        <v>0</v>
      </c>
      <c r="E39" s="32" t="n">
        <v>0</v>
      </c>
      <c r="F39" s="32" t="n">
        <v>1</v>
      </c>
      <c r="G39" s="32" t="n">
        <v>1</v>
      </c>
      <c r="I39" s="32" t="n">
        <f aca="false">IF(ISNUMBER(SEARCH("słupki",in_analiza)),1,0)</f>
        <v>0</v>
      </c>
      <c r="J39" s="32" t="n">
        <f aca="false">IF(ISNUMBER(SEARCH("słupki",in_analiza)),1,0)</f>
        <v>0</v>
      </c>
      <c r="K39" s="32" t="n">
        <f aca="false">IF(ISNUMBER(SEARCH("słupki",in_analiza)),1,0)</f>
        <v>0</v>
      </c>
      <c r="L39" s="32" t="n">
        <f aca="false">IF(ISNUMBER(SEARCH("słupki",in_analiza)),1,0)</f>
        <v>0</v>
      </c>
      <c r="M39" s="32" t="n">
        <f aca="false">IF(ISNUMBER(SEARCH("słupki",in_analiza)),1,0)</f>
        <v>0</v>
      </c>
      <c r="N39" s="32" t="n">
        <f aca="false">IF(ISNUMBER(SEARCH("słupki",in_analiza)),1,0)</f>
        <v>0</v>
      </c>
    </row>
    <row r="40" customFormat="false" ht="15" hidden="false" customHeight="false" outlineLevel="0" collapsed="false">
      <c r="B40" s="0" t="s">
        <v>100</v>
      </c>
      <c r="D40" s="32" t="n">
        <f aca="false">in_osoby</f>
        <v>4</v>
      </c>
      <c r="E40" s="32" t="n">
        <f aca="false">in_osoby</f>
        <v>4</v>
      </c>
      <c r="F40" s="32" t="n">
        <f aca="false">in_osoby</f>
        <v>4</v>
      </c>
      <c r="G40" s="32" t="n">
        <f aca="false">in_osoby</f>
        <v>4</v>
      </c>
      <c r="I40" s="32" t="n">
        <v>2</v>
      </c>
      <c r="J40" s="32" t="n">
        <v>3</v>
      </c>
      <c r="K40" s="32" t="n">
        <v>4</v>
      </c>
      <c r="L40" s="32" t="n">
        <v>5</v>
      </c>
      <c r="M40" s="32" t="n">
        <v>6</v>
      </c>
      <c r="N40" s="32" t="n">
        <v>7</v>
      </c>
    </row>
    <row r="41" customFormat="false" ht="15" hidden="false" customHeight="false" outlineLevel="0" collapsed="false">
      <c r="B41" s="0" t="s">
        <v>331</v>
      </c>
      <c r="D41" s="31" t="n">
        <f aca="false">(c_stawka_1+IF(D40&gt;=2,c_stawka_2,0)+MAX(0,D40-2)*c_stawka_n)/D40</f>
        <v>400</v>
      </c>
      <c r="E41" s="31" t="n">
        <f aca="false">(c_stawka_1+IF(E40&gt;=2,c_stawka_2,0)+MAX(0,E40-2)*c_stawka_n)/E40</f>
        <v>400</v>
      </c>
      <c r="F41" s="31" t="n">
        <f aca="false">(c_stawka_1+IF(F40&gt;=2,c_stawka_2,0)+MAX(0,F40-2)*c_stawka_n)/F40</f>
        <v>400</v>
      </c>
      <c r="G41" s="31" t="n">
        <f aca="false">(c_stawka_1+IF(G40&gt;=2,c_stawka_2,0)+MAX(0,G40-2)*c_stawka_n)/G40</f>
        <v>400</v>
      </c>
      <c r="I41" s="31" t="n">
        <f aca="false">(c_stawka_1+IF(I40&gt;=2,c_stawka_2,0)+MAX(0,I40-2)*c_stawka_n)/I40</f>
        <v>450</v>
      </c>
      <c r="J41" s="31" t="n">
        <f aca="false">(c_stawka_1+IF(J40&gt;=2,c_stawka_2,0)+MAX(0,J40-2)*c_stawka_n)/J40</f>
        <v>416.666666666667</v>
      </c>
      <c r="K41" s="31" t="n">
        <f aca="false">(c_stawka_1+IF(K40&gt;=2,c_stawka_2,0)+MAX(0,K40-2)*c_stawka_n)/K40</f>
        <v>400</v>
      </c>
      <c r="L41" s="31" t="n">
        <f aca="false">(c_stawka_1+IF(L40&gt;=2,c_stawka_2,0)+MAX(0,L40-2)*c_stawka_n)/L40</f>
        <v>390</v>
      </c>
      <c r="M41" s="31" t="n">
        <f aca="false">(c_stawka_1+IF(M40&gt;=2,c_stawka_2,0)+MAX(0,M40-2)*c_stawka_n)/M40</f>
        <v>383.333333333333</v>
      </c>
      <c r="N41" s="31" t="n">
        <f aca="false">(c_stawka_1+IF(N40&gt;=2,c_stawka_2,0)+MAX(0,N40-2)*c_stawka_n)/N40</f>
        <v>378.571428571429</v>
      </c>
    </row>
    <row r="42" customFormat="false" ht="15" hidden="false" customHeight="false" outlineLevel="0" collapsed="false">
      <c r="B42" s="0" t="s">
        <v>332</v>
      </c>
      <c r="D42" s="34" t="n">
        <f aca="false">c_osd_S*in_S+c_osd_D*in_D+c_osd_NP*in_NP+m_utr+D39*c_slupek_rbd*m_MP</f>
        <v>0</v>
      </c>
      <c r="E42" s="34" t="n">
        <f aca="false">c_osd_S*in_S+c_osd_D*in_D+c_osd_NP*in_NP+m_utr+E39*c_slupek_rbd*m_MP</f>
        <v>0</v>
      </c>
      <c r="F42" s="34" t="n">
        <f aca="false">c_osd_S*in_S+c_osd_D*in_D+c_osd_NP*in_NP+m_utr+F39*c_slupek_rbd*m_MP</f>
        <v>0</v>
      </c>
      <c r="G42" s="34" t="n">
        <f aca="false">c_osd_S*in_S+c_osd_D*in_D+c_osd_NP*in_NP+m_utr+G39*c_slupek_rbd*m_MP</f>
        <v>0</v>
      </c>
      <c r="I42" s="34" t="n">
        <f aca="false">c_osd_S*in_S+c_osd_D*in_D+c_osd_NP*in_NP+m_utr+I39*c_slupek_rbd*m_MP</f>
        <v>0</v>
      </c>
      <c r="J42" s="34" t="n">
        <f aca="false">c_osd_S*in_S+c_osd_D*in_D+c_osd_NP*in_NP+m_utr+J39*c_slupek_rbd*m_MP</f>
        <v>0</v>
      </c>
      <c r="K42" s="34" t="n">
        <f aca="false">c_osd_S*in_S+c_osd_D*in_D+c_osd_NP*in_NP+m_utr+K39*c_slupek_rbd*m_MP</f>
        <v>0</v>
      </c>
      <c r="L42" s="34" t="n">
        <f aca="false">c_osd_S*in_S+c_osd_D*in_D+c_osd_NP*in_NP+m_utr+L39*c_slupek_rbd*m_MP</f>
        <v>0</v>
      </c>
      <c r="M42" s="34" t="n">
        <f aca="false">c_osd_S*in_S+c_osd_D*in_D+c_osd_NP*in_NP+m_utr+M39*c_slupek_rbd*m_MP</f>
        <v>0</v>
      </c>
      <c r="N42" s="34" t="n">
        <f aca="false">c_osd_S*in_S+c_osd_D*in_D+c_osd_NP*in_NP+m_utr+N39*c_slupek_rbd*m_MP</f>
        <v>0</v>
      </c>
    </row>
    <row r="43" customFormat="false" ht="15" hidden="false" customHeight="false" outlineLevel="0" collapsed="false">
      <c r="B43" s="0" t="s">
        <v>333</v>
      </c>
      <c r="D43" s="32" t="n">
        <f aca="false">IF(e_krk,CEILING((D42+(e_podr_pom+D40*(e_rozl_dni+IF(in_wzor="Uproszczony",2*e_km_mon/c_km_dzien*1,(1+0.1*MAX(0,800-e_km_mon)/100)*e_km_mon*1/500))))/D40,1),CEILING(CEILING((D42+(e_podr_pom+D40*(e_rozl_dni+IF(in_wzor="Uproszczony",2*e_km_mon/c_km_dzien*1,(1+0.1*MAX(0,800-e_km_mon)/100)*e_km_mon*1/500))))/D40,1)/c_dni_tydzien,1))</f>
        <v>1</v>
      </c>
      <c r="E43" s="32" t="n">
        <f aca="false">IF(e_krk,CEILING((E42+(e_podr_pom+E40*(e_rozl_dni+IF(in_wzor="Uproszczony",2*e_km_mon/c_km_dzien*1,(1+0.1*MAX(0,800-e_km_mon)/100)*e_km_mon*1/500))))/E40,1),CEILING(CEILING((E42+(e_podr_pom+E40*(e_rozl_dni+IF(in_wzor="Uproszczony",2*e_km_mon/c_km_dzien*1,(1+0.1*MAX(0,800-e_km_mon)/100)*e_km_mon*1/500))))/E40,1)/c_dni_tydzien,1))</f>
        <v>1</v>
      </c>
      <c r="F43" s="32" t="n">
        <f aca="false">IF(e_krk,CEILING((F42+(e_podr_pom+F40*(e_rozl_dni+IF(in_wzor="Uproszczony",2*e_km_mon/c_km_dzien*1,(1+0.1*MAX(0,800-e_km_mon)/100)*e_km_mon*1/500))))/F40,1),CEILING(CEILING((F42+(e_podr_pom+F40*(e_rozl_dni+IF(in_wzor="Uproszczony",2*e_km_mon/c_km_dzien*1,(1+0.1*MAX(0,800-e_km_mon)/100)*e_km_mon*1/500))))/F40,1)/c_dni_tydzien,1))</f>
        <v>1</v>
      </c>
      <c r="G43" s="32" t="n">
        <f aca="false">IF(e_krk,CEILING((G42+(e_podr_pom+G40*(e_rozl_dni+IF(in_wzor="Uproszczony",2*e_km_mon/c_km_dzien*1,(1+0.1*MAX(0,800-e_km_mon)/100)*e_km_mon*1/500))))/G40,1),CEILING(CEILING((G42+(e_podr_pom+G40*(e_rozl_dni+IF(in_wzor="Uproszczony",2*e_km_mon/c_km_dzien*1,(1+0.1*MAX(0,800-e_km_mon)/100)*e_km_mon*1/500))))/G40,1)/c_dni_tydzien,1))</f>
        <v>1</v>
      </c>
      <c r="I43" s="32" t="n">
        <f aca="false">IF(e_krk,CEILING((I42+(e_podr_pom+I40*(e_rozl_dni+IF(in_wzor="Uproszczony",2*e_km_mon/c_km_dzien*1,(1+0.1*MAX(0,800-e_km_mon)/100)*e_km_mon*1/500))))/I40,1),CEILING(CEILING((I42+(e_podr_pom+I40*(e_rozl_dni+IF(in_wzor="Uproszczony",2*e_km_mon/c_km_dzien*1,(1+0.1*MAX(0,800-e_km_mon)/100)*e_km_mon*1/500))))/I40,1)/c_dni_tydzien,1))</f>
        <v>1</v>
      </c>
      <c r="J43" s="32" t="n">
        <f aca="false">IF(e_krk,CEILING((J42+(e_podr_pom+J40*(e_rozl_dni+IF(in_wzor="Uproszczony",2*e_km_mon/c_km_dzien*1,(1+0.1*MAX(0,800-e_km_mon)/100)*e_km_mon*1/500))))/J40,1),CEILING(CEILING((J42+(e_podr_pom+J40*(e_rozl_dni+IF(in_wzor="Uproszczony",2*e_km_mon/c_km_dzien*1,(1+0.1*MAX(0,800-e_km_mon)/100)*e_km_mon*1/500))))/J40,1)/c_dni_tydzien,1))</f>
        <v>1</v>
      </c>
      <c r="K43" s="32" t="n">
        <f aca="false">IF(e_krk,CEILING((K42+(e_podr_pom+K40*(e_rozl_dni+IF(in_wzor="Uproszczony",2*e_km_mon/c_km_dzien*1,(1+0.1*MAX(0,800-e_km_mon)/100)*e_km_mon*1/500))))/K40,1),CEILING(CEILING((K42+(e_podr_pom+K40*(e_rozl_dni+IF(in_wzor="Uproszczony",2*e_km_mon/c_km_dzien*1,(1+0.1*MAX(0,800-e_km_mon)/100)*e_km_mon*1/500))))/K40,1)/c_dni_tydzien,1))</f>
        <v>1</v>
      </c>
      <c r="L43" s="32" t="n">
        <f aca="false">IF(e_krk,CEILING((L42+(e_podr_pom+L40*(e_rozl_dni+IF(in_wzor="Uproszczony",2*e_km_mon/c_km_dzien*1,(1+0.1*MAX(0,800-e_km_mon)/100)*e_km_mon*1/500))))/L40,1),CEILING(CEILING((L42+(e_podr_pom+L40*(e_rozl_dni+IF(in_wzor="Uproszczony",2*e_km_mon/c_km_dzien*1,(1+0.1*MAX(0,800-e_km_mon)/100)*e_km_mon*1/500))))/L40,1)/c_dni_tydzien,1))</f>
        <v>1</v>
      </c>
      <c r="M43" s="32" t="n">
        <f aca="false">IF(e_krk,CEILING((M42+(e_podr_pom+M40*(e_rozl_dni+IF(in_wzor="Uproszczony",2*e_km_mon/c_km_dzien*1,(1+0.1*MAX(0,800-e_km_mon)/100)*e_km_mon*1/500))))/M40,1),CEILING(CEILING((M42+(e_podr_pom+M40*(e_rozl_dni+IF(in_wzor="Uproszczony",2*e_km_mon/c_km_dzien*1,(1+0.1*MAX(0,800-e_km_mon)/100)*e_km_mon*1/500))))/M40,1)/c_dni_tydzien,1))</f>
        <v>1</v>
      </c>
      <c r="N43" s="32" t="n">
        <f aca="false">IF(e_krk,CEILING((N42+(e_podr_pom+N40*(e_rozl_dni+IF(in_wzor="Uproszczony",2*e_km_mon/c_km_dzien*1,(1+0.1*MAX(0,800-e_km_mon)/100)*e_km_mon*1/500))))/N40,1),CEILING(CEILING((N42+(e_podr_pom+N40*(e_rozl_dni+IF(in_wzor="Uproszczony",2*e_km_mon/c_km_dzien*1,(1+0.1*MAX(0,800-e_km_mon)/100)*e_km_mon*1/500))))/N40,1)/c_dni_tydzien,1))</f>
        <v>1</v>
      </c>
    </row>
    <row r="44" customFormat="false" ht="15" hidden="false" customHeight="false" outlineLevel="0" collapsed="false">
      <c r="B44" s="0" t="s">
        <v>334</v>
      </c>
      <c r="D44" s="32" t="n">
        <f aca="false">IF(e_krk,CEILING((D42+(e_podr_pom+D40*(e_rozl_dni+IF(in_wzor="Uproszczony",2*e_km_mon/c_km_dzien*D43,(1+0.1*MAX(0,800-e_km_mon)/100)*e_km_mon*D43/500))))/D40,1),CEILING(CEILING((D42+(e_podr_pom+D40*(e_rozl_dni+IF(in_wzor="Uproszczony",2*e_km_mon/c_km_dzien*D43,(1+0.1*MAX(0,800-e_km_mon)/100)*e_km_mon*D43/500))))/D40,1)/c_dni_tydzien,1))</f>
        <v>1</v>
      </c>
      <c r="E44" s="32" t="n">
        <f aca="false">IF(e_krk,CEILING((E42+(e_podr_pom+E40*(e_rozl_dni+IF(in_wzor="Uproszczony",2*e_km_mon/c_km_dzien*E43,(1+0.1*MAX(0,800-e_km_mon)/100)*e_km_mon*E43/500))))/E40,1),CEILING(CEILING((E42+(e_podr_pom+E40*(e_rozl_dni+IF(in_wzor="Uproszczony",2*e_km_mon/c_km_dzien*E43,(1+0.1*MAX(0,800-e_km_mon)/100)*e_km_mon*E43/500))))/E40,1)/c_dni_tydzien,1))</f>
        <v>1</v>
      </c>
      <c r="F44" s="32" t="n">
        <f aca="false">IF(e_krk,CEILING((F42+(e_podr_pom+F40*(e_rozl_dni+IF(in_wzor="Uproszczony",2*e_km_mon/c_km_dzien*F43,(1+0.1*MAX(0,800-e_km_mon)/100)*e_km_mon*F43/500))))/F40,1),CEILING(CEILING((F42+(e_podr_pom+F40*(e_rozl_dni+IF(in_wzor="Uproszczony",2*e_km_mon/c_km_dzien*F43,(1+0.1*MAX(0,800-e_km_mon)/100)*e_km_mon*F43/500))))/F40,1)/c_dni_tydzien,1))</f>
        <v>1</v>
      </c>
      <c r="G44" s="32" t="n">
        <f aca="false">IF(e_krk,CEILING((G42+(e_podr_pom+G40*(e_rozl_dni+IF(in_wzor="Uproszczony",2*e_km_mon/c_km_dzien*G43,(1+0.1*MAX(0,800-e_km_mon)/100)*e_km_mon*G43/500))))/G40,1),CEILING(CEILING((G42+(e_podr_pom+G40*(e_rozl_dni+IF(in_wzor="Uproszczony",2*e_km_mon/c_km_dzien*G43,(1+0.1*MAX(0,800-e_km_mon)/100)*e_km_mon*G43/500))))/G40,1)/c_dni_tydzien,1))</f>
        <v>1</v>
      </c>
      <c r="I44" s="32" t="n">
        <f aca="false">IF(e_krk,CEILING((I42+(e_podr_pom+I40*(e_rozl_dni+IF(in_wzor="Uproszczony",2*e_km_mon/c_km_dzien*I43,(1+0.1*MAX(0,800-e_km_mon)/100)*e_km_mon*I43/500))))/I40,1),CEILING(CEILING((I42+(e_podr_pom+I40*(e_rozl_dni+IF(in_wzor="Uproszczony",2*e_km_mon/c_km_dzien*I43,(1+0.1*MAX(0,800-e_km_mon)/100)*e_km_mon*I43/500))))/I40,1)/c_dni_tydzien,1))</f>
        <v>1</v>
      </c>
      <c r="J44" s="32" t="n">
        <f aca="false">IF(e_krk,CEILING((J42+(e_podr_pom+J40*(e_rozl_dni+IF(in_wzor="Uproszczony",2*e_km_mon/c_km_dzien*J43,(1+0.1*MAX(0,800-e_km_mon)/100)*e_km_mon*J43/500))))/J40,1),CEILING(CEILING((J42+(e_podr_pom+J40*(e_rozl_dni+IF(in_wzor="Uproszczony",2*e_km_mon/c_km_dzien*J43,(1+0.1*MAX(0,800-e_km_mon)/100)*e_km_mon*J43/500))))/J40,1)/c_dni_tydzien,1))</f>
        <v>1</v>
      </c>
      <c r="K44" s="32" t="n">
        <f aca="false">IF(e_krk,CEILING((K42+(e_podr_pom+K40*(e_rozl_dni+IF(in_wzor="Uproszczony",2*e_km_mon/c_km_dzien*K43,(1+0.1*MAX(0,800-e_km_mon)/100)*e_km_mon*K43/500))))/K40,1),CEILING(CEILING((K42+(e_podr_pom+K40*(e_rozl_dni+IF(in_wzor="Uproszczony",2*e_km_mon/c_km_dzien*K43,(1+0.1*MAX(0,800-e_km_mon)/100)*e_km_mon*K43/500))))/K40,1)/c_dni_tydzien,1))</f>
        <v>1</v>
      </c>
      <c r="L44" s="32" t="n">
        <f aca="false">IF(e_krk,CEILING((L42+(e_podr_pom+L40*(e_rozl_dni+IF(in_wzor="Uproszczony",2*e_km_mon/c_km_dzien*L43,(1+0.1*MAX(0,800-e_km_mon)/100)*e_km_mon*L43/500))))/L40,1),CEILING(CEILING((L42+(e_podr_pom+L40*(e_rozl_dni+IF(in_wzor="Uproszczony",2*e_km_mon/c_km_dzien*L43,(1+0.1*MAX(0,800-e_km_mon)/100)*e_km_mon*L43/500))))/L40,1)/c_dni_tydzien,1))</f>
        <v>1</v>
      </c>
      <c r="M44" s="32" t="n">
        <f aca="false">IF(e_krk,CEILING((M42+(e_podr_pom+M40*(e_rozl_dni+IF(in_wzor="Uproszczony",2*e_km_mon/c_km_dzien*M43,(1+0.1*MAX(0,800-e_km_mon)/100)*e_km_mon*M43/500))))/M40,1),CEILING(CEILING((M42+(e_podr_pom+M40*(e_rozl_dni+IF(in_wzor="Uproszczony",2*e_km_mon/c_km_dzien*M43,(1+0.1*MAX(0,800-e_km_mon)/100)*e_km_mon*M43/500))))/M40,1)/c_dni_tydzien,1))</f>
        <v>1</v>
      </c>
      <c r="N44" s="32" t="n">
        <f aca="false">IF(e_krk,CEILING((N42+(e_podr_pom+N40*(e_rozl_dni+IF(in_wzor="Uproszczony",2*e_km_mon/c_km_dzien*N43,(1+0.1*MAX(0,800-e_km_mon)/100)*e_km_mon*N43/500))))/N40,1),CEILING(CEILING((N42+(e_podr_pom+N40*(e_rozl_dni+IF(in_wzor="Uproszczony",2*e_km_mon/c_km_dzien*N43,(1+0.1*MAX(0,800-e_km_mon)/100)*e_km_mon*N43/500))))/N40,1)/c_dni_tydzien,1))</f>
        <v>1</v>
      </c>
    </row>
    <row r="45" customFormat="false" ht="15" hidden="false" customHeight="false" outlineLevel="0" collapsed="false">
      <c r="B45" s="0" t="s">
        <v>335</v>
      </c>
      <c r="D45" s="32" t="n">
        <f aca="false">IF(e_krk,CEILING((D42+(e_podr_pom+D40*(e_rozl_dni+IF(in_wzor="Uproszczony",2*e_km_mon/c_km_dzien*D44,(1+0.1*MAX(0,800-e_km_mon)/100)*e_km_mon*D44/500))))/D40,1),CEILING(CEILING((D42+(e_podr_pom+D40*(e_rozl_dni+IF(in_wzor="Uproszczony",2*e_km_mon/c_km_dzien*D44,(1+0.1*MAX(0,800-e_km_mon)/100)*e_km_mon*D44/500))))/D40,1)/c_dni_tydzien,1))</f>
        <v>1</v>
      </c>
      <c r="E45" s="32" t="n">
        <f aca="false">IF(e_krk,CEILING((E42+(e_podr_pom+E40*(e_rozl_dni+IF(in_wzor="Uproszczony",2*e_km_mon/c_km_dzien*E44,(1+0.1*MAX(0,800-e_km_mon)/100)*e_km_mon*E44/500))))/E40,1),CEILING(CEILING((E42+(e_podr_pom+E40*(e_rozl_dni+IF(in_wzor="Uproszczony",2*e_km_mon/c_km_dzien*E44,(1+0.1*MAX(0,800-e_km_mon)/100)*e_km_mon*E44/500))))/E40,1)/c_dni_tydzien,1))</f>
        <v>1</v>
      </c>
      <c r="F45" s="32" t="n">
        <f aca="false">IF(e_krk,CEILING((F42+(e_podr_pom+F40*(e_rozl_dni+IF(in_wzor="Uproszczony",2*e_km_mon/c_km_dzien*F44,(1+0.1*MAX(0,800-e_km_mon)/100)*e_km_mon*F44/500))))/F40,1),CEILING(CEILING((F42+(e_podr_pom+F40*(e_rozl_dni+IF(in_wzor="Uproszczony",2*e_km_mon/c_km_dzien*F44,(1+0.1*MAX(0,800-e_km_mon)/100)*e_km_mon*F44/500))))/F40,1)/c_dni_tydzien,1))</f>
        <v>1</v>
      </c>
      <c r="G45" s="32" t="n">
        <f aca="false">IF(e_krk,CEILING((G42+(e_podr_pom+G40*(e_rozl_dni+IF(in_wzor="Uproszczony",2*e_km_mon/c_km_dzien*G44,(1+0.1*MAX(0,800-e_km_mon)/100)*e_km_mon*G44/500))))/G40,1),CEILING(CEILING((G42+(e_podr_pom+G40*(e_rozl_dni+IF(in_wzor="Uproszczony",2*e_km_mon/c_km_dzien*G44,(1+0.1*MAX(0,800-e_km_mon)/100)*e_km_mon*G44/500))))/G40,1)/c_dni_tydzien,1))</f>
        <v>1</v>
      </c>
      <c r="I45" s="32" t="n">
        <f aca="false">IF(e_krk,CEILING((I42+(e_podr_pom+I40*(e_rozl_dni+IF(in_wzor="Uproszczony",2*e_km_mon/c_km_dzien*I44,(1+0.1*MAX(0,800-e_km_mon)/100)*e_km_mon*I44/500))))/I40,1),CEILING(CEILING((I42+(e_podr_pom+I40*(e_rozl_dni+IF(in_wzor="Uproszczony",2*e_km_mon/c_km_dzien*I44,(1+0.1*MAX(0,800-e_km_mon)/100)*e_km_mon*I44/500))))/I40,1)/c_dni_tydzien,1))</f>
        <v>1</v>
      </c>
      <c r="J45" s="32" t="n">
        <f aca="false">IF(e_krk,CEILING((J42+(e_podr_pom+J40*(e_rozl_dni+IF(in_wzor="Uproszczony",2*e_km_mon/c_km_dzien*J44,(1+0.1*MAX(0,800-e_km_mon)/100)*e_km_mon*J44/500))))/J40,1),CEILING(CEILING((J42+(e_podr_pom+J40*(e_rozl_dni+IF(in_wzor="Uproszczony",2*e_km_mon/c_km_dzien*J44,(1+0.1*MAX(0,800-e_km_mon)/100)*e_km_mon*J44/500))))/J40,1)/c_dni_tydzien,1))</f>
        <v>1</v>
      </c>
      <c r="K45" s="32" t="n">
        <f aca="false">IF(e_krk,CEILING((K42+(e_podr_pom+K40*(e_rozl_dni+IF(in_wzor="Uproszczony",2*e_km_mon/c_km_dzien*K44,(1+0.1*MAX(0,800-e_km_mon)/100)*e_km_mon*K44/500))))/K40,1),CEILING(CEILING((K42+(e_podr_pom+K40*(e_rozl_dni+IF(in_wzor="Uproszczony",2*e_km_mon/c_km_dzien*K44,(1+0.1*MAX(0,800-e_km_mon)/100)*e_km_mon*K44/500))))/K40,1)/c_dni_tydzien,1))</f>
        <v>1</v>
      </c>
      <c r="L45" s="32" t="n">
        <f aca="false">IF(e_krk,CEILING((L42+(e_podr_pom+L40*(e_rozl_dni+IF(in_wzor="Uproszczony",2*e_km_mon/c_km_dzien*L44,(1+0.1*MAX(0,800-e_km_mon)/100)*e_km_mon*L44/500))))/L40,1),CEILING(CEILING((L42+(e_podr_pom+L40*(e_rozl_dni+IF(in_wzor="Uproszczony",2*e_km_mon/c_km_dzien*L44,(1+0.1*MAX(0,800-e_km_mon)/100)*e_km_mon*L44/500))))/L40,1)/c_dni_tydzien,1))</f>
        <v>1</v>
      </c>
      <c r="M45" s="32" t="n">
        <f aca="false">IF(e_krk,CEILING((M42+(e_podr_pom+M40*(e_rozl_dni+IF(in_wzor="Uproszczony",2*e_km_mon/c_km_dzien*M44,(1+0.1*MAX(0,800-e_km_mon)/100)*e_km_mon*M44/500))))/M40,1),CEILING(CEILING((M42+(e_podr_pom+M40*(e_rozl_dni+IF(in_wzor="Uproszczony",2*e_km_mon/c_km_dzien*M44,(1+0.1*MAX(0,800-e_km_mon)/100)*e_km_mon*M44/500))))/M40,1)/c_dni_tydzien,1))</f>
        <v>1</v>
      </c>
      <c r="N45" s="32" t="n">
        <f aca="false">IF(e_krk,CEILING((N42+(e_podr_pom+N40*(e_rozl_dni+IF(in_wzor="Uproszczony",2*e_km_mon/c_km_dzien*N44,(1+0.1*MAX(0,800-e_km_mon)/100)*e_km_mon*N44/500))))/N40,1),CEILING(CEILING((N42+(e_podr_pom+N40*(e_rozl_dni+IF(in_wzor="Uproszczony",2*e_km_mon/c_km_dzien*N44,(1+0.1*MAX(0,800-e_km_mon)/100)*e_km_mon*N44/500))))/N40,1)/c_dni_tydzien,1))</f>
        <v>1</v>
      </c>
    </row>
    <row r="46" customFormat="false" ht="15" hidden="false" customHeight="false" outlineLevel="0" collapsed="false">
      <c r="B46" s="0" t="s">
        <v>336</v>
      </c>
      <c r="D46" s="32" t="n">
        <f aca="false">IF(e_krk,CEILING((D42+(e_podr_pom+D40*(e_rozl_dni+IF(in_wzor="Uproszczony",2*e_km_mon/c_km_dzien*D45,(1+0.1*MAX(0,800-e_km_mon)/100)*e_km_mon*D45/500))))/D40,1),CEILING(CEILING((D42+(e_podr_pom+D40*(e_rozl_dni+IF(in_wzor="Uproszczony",2*e_km_mon/c_km_dzien*D45,(1+0.1*MAX(0,800-e_km_mon)/100)*e_km_mon*D45/500))))/D40,1)/c_dni_tydzien,1))</f>
        <v>1</v>
      </c>
      <c r="E46" s="32" t="n">
        <f aca="false">IF(e_krk,CEILING((E42+(e_podr_pom+E40*(e_rozl_dni+IF(in_wzor="Uproszczony",2*e_km_mon/c_km_dzien*E45,(1+0.1*MAX(0,800-e_km_mon)/100)*e_km_mon*E45/500))))/E40,1),CEILING(CEILING((E42+(e_podr_pom+E40*(e_rozl_dni+IF(in_wzor="Uproszczony",2*e_km_mon/c_km_dzien*E45,(1+0.1*MAX(0,800-e_km_mon)/100)*e_km_mon*E45/500))))/E40,1)/c_dni_tydzien,1))</f>
        <v>1</v>
      </c>
      <c r="F46" s="32" t="n">
        <f aca="false">IF(e_krk,CEILING((F42+(e_podr_pom+F40*(e_rozl_dni+IF(in_wzor="Uproszczony",2*e_km_mon/c_km_dzien*F45,(1+0.1*MAX(0,800-e_km_mon)/100)*e_km_mon*F45/500))))/F40,1),CEILING(CEILING((F42+(e_podr_pom+F40*(e_rozl_dni+IF(in_wzor="Uproszczony",2*e_km_mon/c_km_dzien*F45,(1+0.1*MAX(0,800-e_km_mon)/100)*e_km_mon*F45/500))))/F40,1)/c_dni_tydzien,1))</f>
        <v>1</v>
      </c>
      <c r="G46" s="32" t="n">
        <f aca="false">IF(e_krk,CEILING((G42+(e_podr_pom+G40*(e_rozl_dni+IF(in_wzor="Uproszczony",2*e_km_mon/c_km_dzien*G45,(1+0.1*MAX(0,800-e_km_mon)/100)*e_km_mon*G45/500))))/G40,1),CEILING(CEILING((G42+(e_podr_pom+G40*(e_rozl_dni+IF(in_wzor="Uproszczony",2*e_km_mon/c_km_dzien*G45,(1+0.1*MAX(0,800-e_km_mon)/100)*e_km_mon*G45/500))))/G40,1)/c_dni_tydzien,1))</f>
        <v>1</v>
      </c>
      <c r="I46" s="32" t="n">
        <f aca="false">IF(e_krk,CEILING((I42+(e_podr_pom+I40*(e_rozl_dni+IF(in_wzor="Uproszczony",2*e_km_mon/c_km_dzien*I45,(1+0.1*MAX(0,800-e_km_mon)/100)*e_km_mon*I45/500))))/I40,1),CEILING(CEILING((I42+(e_podr_pom+I40*(e_rozl_dni+IF(in_wzor="Uproszczony",2*e_km_mon/c_km_dzien*I45,(1+0.1*MAX(0,800-e_km_mon)/100)*e_km_mon*I45/500))))/I40,1)/c_dni_tydzien,1))</f>
        <v>1</v>
      </c>
      <c r="J46" s="32" t="n">
        <f aca="false">IF(e_krk,CEILING((J42+(e_podr_pom+J40*(e_rozl_dni+IF(in_wzor="Uproszczony",2*e_km_mon/c_km_dzien*J45,(1+0.1*MAX(0,800-e_km_mon)/100)*e_km_mon*J45/500))))/J40,1),CEILING(CEILING((J42+(e_podr_pom+J40*(e_rozl_dni+IF(in_wzor="Uproszczony",2*e_km_mon/c_km_dzien*J45,(1+0.1*MAX(0,800-e_km_mon)/100)*e_km_mon*J45/500))))/J40,1)/c_dni_tydzien,1))</f>
        <v>1</v>
      </c>
      <c r="K46" s="32" t="n">
        <f aca="false">IF(e_krk,CEILING((K42+(e_podr_pom+K40*(e_rozl_dni+IF(in_wzor="Uproszczony",2*e_km_mon/c_km_dzien*K45,(1+0.1*MAX(0,800-e_km_mon)/100)*e_km_mon*K45/500))))/K40,1),CEILING(CEILING((K42+(e_podr_pom+K40*(e_rozl_dni+IF(in_wzor="Uproszczony",2*e_km_mon/c_km_dzien*K45,(1+0.1*MAX(0,800-e_km_mon)/100)*e_km_mon*K45/500))))/K40,1)/c_dni_tydzien,1))</f>
        <v>1</v>
      </c>
      <c r="L46" s="32" t="n">
        <f aca="false">IF(e_krk,CEILING((L42+(e_podr_pom+L40*(e_rozl_dni+IF(in_wzor="Uproszczony",2*e_km_mon/c_km_dzien*L45,(1+0.1*MAX(0,800-e_km_mon)/100)*e_km_mon*L45/500))))/L40,1),CEILING(CEILING((L42+(e_podr_pom+L40*(e_rozl_dni+IF(in_wzor="Uproszczony",2*e_km_mon/c_km_dzien*L45,(1+0.1*MAX(0,800-e_km_mon)/100)*e_km_mon*L45/500))))/L40,1)/c_dni_tydzien,1))</f>
        <v>1</v>
      </c>
      <c r="M46" s="32" t="n">
        <f aca="false">IF(e_krk,CEILING((M42+(e_podr_pom+M40*(e_rozl_dni+IF(in_wzor="Uproszczony",2*e_km_mon/c_km_dzien*M45,(1+0.1*MAX(0,800-e_km_mon)/100)*e_km_mon*M45/500))))/M40,1),CEILING(CEILING((M42+(e_podr_pom+M40*(e_rozl_dni+IF(in_wzor="Uproszczony",2*e_km_mon/c_km_dzien*M45,(1+0.1*MAX(0,800-e_km_mon)/100)*e_km_mon*M45/500))))/M40,1)/c_dni_tydzien,1))</f>
        <v>1</v>
      </c>
      <c r="N46" s="32" t="n">
        <f aca="false">IF(e_krk,CEILING((N42+(e_podr_pom+N40*(e_rozl_dni+IF(in_wzor="Uproszczony",2*e_km_mon/c_km_dzien*N45,(1+0.1*MAX(0,800-e_km_mon)/100)*e_km_mon*N45/500))))/N40,1),CEILING(CEILING((N42+(e_podr_pom+N40*(e_rozl_dni+IF(in_wzor="Uproszczony",2*e_km_mon/c_km_dzien*N45,(1+0.1*MAX(0,800-e_km_mon)/100)*e_km_mon*N45/500))))/N40,1)/c_dni_tydzien,1))</f>
        <v>1</v>
      </c>
    </row>
    <row r="47" customFormat="false" ht="15" hidden="false" customHeight="false" outlineLevel="0" collapsed="false">
      <c r="B47" s="0" t="s">
        <v>337</v>
      </c>
      <c r="D47" s="32" t="n">
        <f aca="false">IF(e_krk,CEILING((D42+(e_podr_pom+D40*(e_rozl_dni+IF(in_wzor="Uproszczony",2*e_km_mon/c_km_dzien*D46,(1+0.1*MAX(0,800-e_km_mon)/100)*e_km_mon*D46/500))))/D40,1),CEILING(CEILING((D42+(e_podr_pom+D40*(e_rozl_dni+IF(in_wzor="Uproszczony",2*e_km_mon/c_km_dzien*D46,(1+0.1*MAX(0,800-e_km_mon)/100)*e_km_mon*D46/500))))/D40,1)/c_dni_tydzien,1))</f>
        <v>1</v>
      </c>
      <c r="E47" s="32" t="n">
        <f aca="false">IF(e_krk,CEILING((E42+(e_podr_pom+E40*(e_rozl_dni+IF(in_wzor="Uproszczony",2*e_km_mon/c_km_dzien*E46,(1+0.1*MAX(0,800-e_km_mon)/100)*e_km_mon*E46/500))))/E40,1),CEILING(CEILING((E42+(e_podr_pom+E40*(e_rozl_dni+IF(in_wzor="Uproszczony",2*e_km_mon/c_km_dzien*E46,(1+0.1*MAX(0,800-e_km_mon)/100)*e_km_mon*E46/500))))/E40,1)/c_dni_tydzien,1))</f>
        <v>1</v>
      </c>
      <c r="F47" s="32" t="n">
        <f aca="false">IF(e_krk,CEILING((F42+(e_podr_pom+F40*(e_rozl_dni+IF(in_wzor="Uproszczony",2*e_km_mon/c_km_dzien*F46,(1+0.1*MAX(0,800-e_km_mon)/100)*e_km_mon*F46/500))))/F40,1),CEILING(CEILING((F42+(e_podr_pom+F40*(e_rozl_dni+IF(in_wzor="Uproszczony",2*e_km_mon/c_km_dzien*F46,(1+0.1*MAX(0,800-e_km_mon)/100)*e_km_mon*F46/500))))/F40,1)/c_dni_tydzien,1))</f>
        <v>1</v>
      </c>
      <c r="G47" s="32" t="n">
        <f aca="false">IF(e_krk,CEILING((G42+(e_podr_pom+G40*(e_rozl_dni+IF(in_wzor="Uproszczony",2*e_km_mon/c_km_dzien*G46,(1+0.1*MAX(0,800-e_km_mon)/100)*e_km_mon*G46/500))))/G40,1),CEILING(CEILING((G42+(e_podr_pom+G40*(e_rozl_dni+IF(in_wzor="Uproszczony",2*e_km_mon/c_km_dzien*G46,(1+0.1*MAX(0,800-e_km_mon)/100)*e_km_mon*G46/500))))/G40,1)/c_dni_tydzien,1))</f>
        <v>1</v>
      </c>
      <c r="I47" s="32" t="n">
        <f aca="false">IF(e_krk,CEILING((I42+(e_podr_pom+I40*(e_rozl_dni+IF(in_wzor="Uproszczony",2*e_km_mon/c_km_dzien*I46,(1+0.1*MAX(0,800-e_km_mon)/100)*e_km_mon*I46/500))))/I40,1),CEILING(CEILING((I42+(e_podr_pom+I40*(e_rozl_dni+IF(in_wzor="Uproszczony",2*e_km_mon/c_km_dzien*I46,(1+0.1*MAX(0,800-e_km_mon)/100)*e_km_mon*I46/500))))/I40,1)/c_dni_tydzien,1))</f>
        <v>1</v>
      </c>
      <c r="J47" s="32" t="n">
        <f aca="false">IF(e_krk,CEILING((J42+(e_podr_pom+J40*(e_rozl_dni+IF(in_wzor="Uproszczony",2*e_km_mon/c_km_dzien*J46,(1+0.1*MAX(0,800-e_km_mon)/100)*e_km_mon*J46/500))))/J40,1),CEILING(CEILING((J42+(e_podr_pom+J40*(e_rozl_dni+IF(in_wzor="Uproszczony",2*e_km_mon/c_km_dzien*J46,(1+0.1*MAX(0,800-e_km_mon)/100)*e_km_mon*J46/500))))/J40,1)/c_dni_tydzien,1))</f>
        <v>1</v>
      </c>
      <c r="K47" s="32" t="n">
        <f aca="false">IF(e_krk,CEILING((K42+(e_podr_pom+K40*(e_rozl_dni+IF(in_wzor="Uproszczony",2*e_km_mon/c_km_dzien*K46,(1+0.1*MAX(0,800-e_km_mon)/100)*e_km_mon*K46/500))))/K40,1),CEILING(CEILING((K42+(e_podr_pom+K40*(e_rozl_dni+IF(in_wzor="Uproszczony",2*e_km_mon/c_km_dzien*K46,(1+0.1*MAX(0,800-e_km_mon)/100)*e_km_mon*K46/500))))/K40,1)/c_dni_tydzien,1))</f>
        <v>1</v>
      </c>
      <c r="L47" s="32" t="n">
        <f aca="false">IF(e_krk,CEILING((L42+(e_podr_pom+L40*(e_rozl_dni+IF(in_wzor="Uproszczony",2*e_km_mon/c_km_dzien*L46,(1+0.1*MAX(0,800-e_km_mon)/100)*e_km_mon*L46/500))))/L40,1),CEILING(CEILING((L42+(e_podr_pom+L40*(e_rozl_dni+IF(in_wzor="Uproszczony",2*e_km_mon/c_km_dzien*L46,(1+0.1*MAX(0,800-e_km_mon)/100)*e_km_mon*L46/500))))/L40,1)/c_dni_tydzien,1))</f>
        <v>1</v>
      </c>
      <c r="M47" s="32" t="n">
        <f aca="false">IF(e_krk,CEILING((M42+(e_podr_pom+M40*(e_rozl_dni+IF(in_wzor="Uproszczony",2*e_km_mon/c_km_dzien*M46,(1+0.1*MAX(0,800-e_km_mon)/100)*e_km_mon*M46/500))))/M40,1),CEILING(CEILING((M42+(e_podr_pom+M40*(e_rozl_dni+IF(in_wzor="Uproszczony",2*e_km_mon/c_km_dzien*M46,(1+0.1*MAX(0,800-e_km_mon)/100)*e_km_mon*M46/500))))/M40,1)/c_dni_tydzien,1))</f>
        <v>1</v>
      </c>
      <c r="N47" s="32" t="n">
        <f aca="false">IF(e_krk,CEILING((N42+(e_podr_pom+N40*(e_rozl_dni+IF(in_wzor="Uproszczony",2*e_km_mon/c_km_dzien*N46,(1+0.1*MAX(0,800-e_km_mon)/100)*e_km_mon*N46/500))))/N40,1),CEILING(CEILING((N42+(e_podr_pom+N40*(e_rozl_dni+IF(in_wzor="Uproszczony",2*e_km_mon/c_km_dzien*N46,(1+0.1*MAX(0,800-e_km_mon)/100)*e_km_mon*N46/500))))/N40,1)/c_dni_tydzien,1))</f>
        <v>1</v>
      </c>
    </row>
    <row r="48" customFormat="false" ht="15" hidden="false" customHeight="false" outlineLevel="0" collapsed="false">
      <c r="B48" s="11" t="s">
        <v>338</v>
      </c>
      <c r="D48" s="38" t="n">
        <f aca="false">IF(ISBLANK(in_wyjazdy),D47,in_wyjazdy)</f>
        <v>1</v>
      </c>
      <c r="E48" s="38" t="n">
        <f aca="false">IF(ISBLANK(in_wyjazdy),E47,in_wyjazdy)</f>
        <v>1</v>
      </c>
      <c r="F48" s="38" t="n">
        <f aca="false">IF(ISBLANK(in_wyjazdy),F47,in_wyjazdy)</f>
        <v>1</v>
      </c>
      <c r="G48" s="38" t="n">
        <f aca="false">IF(ISBLANK(in_wyjazdy),G47,in_wyjazdy)</f>
        <v>1</v>
      </c>
      <c r="I48" s="38" t="n">
        <f aca="false">IF(ISBLANK(in_wyjazdy),I47,in_wyjazdy)</f>
        <v>1</v>
      </c>
      <c r="J48" s="38" t="n">
        <f aca="false">IF(ISBLANK(in_wyjazdy),J47,in_wyjazdy)</f>
        <v>1</v>
      </c>
      <c r="K48" s="38" t="n">
        <f aca="false">IF(ISBLANK(in_wyjazdy),K47,in_wyjazdy)</f>
        <v>1</v>
      </c>
      <c r="L48" s="38" t="n">
        <f aca="false">IF(ISBLANK(in_wyjazdy),L47,in_wyjazdy)</f>
        <v>1</v>
      </c>
      <c r="M48" s="38" t="n">
        <f aca="false">IF(ISBLANK(in_wyjazdy),M47,in_wyjazdy)</f>
        <v>1</v>
      </c>
      <c r="N48" s="38" t="n">
        <f aca="false">IF(ISBLANK(in_wyjazdy),N47,in_wyjazdy)</f>
        <v>1</v>
      </c>
    </row>
    <row r="49" customFormat="false" ht="15" hidden="false" customHeight="false" outlineLevel="0" collapsed="false">
      <c r="B49" s="0" t="s">
        <v>339</v>
      </c>
      <c r="D49" s="34" t="n">
        <f aca="false">(e_podr_pom+D40*(e_rozl_dni+IF(in_wzor="Uproszczony",2*e_km_mon/c_km_dzien*D48,(1+0.1*MAX(0,800-e_km_mon)/100)*e_km_mon*D48/500)))</f>
        <v>0.7</v>
      </c>
      <c r="E49" s="34" t="n">
        <f aca="false">(e_podr_pom+E40*(e_rozl_dni+IF(in_wzor="Uproszczony",2*e_km_mon/c_km_dzien*E48,(1+0.1*MAX(0,800-e_km_mon)/100)*e_km_mon*E48/500)))</f>
        <v>0.7</v>
      </c>
      <c r="F49" s="34" t="n">
        <f aca="false">(e_podr_pom+F40*(e_rozl_dni+IF(in_wzor="Uproszczony",2*e_km_mon/c_km_dzien*F48,(1+0.1*MAX(0,800-e_km_mon)/100)*e_km_mon*F48/500)))</f>
        <v>0.7</v>
      </c>
      <c r="G49" s="34" t="n">
        <f aca="false">(e_podr_pom+G40*(e_rozl_dni+IF(in_wzor="Uproszczony",2*e_km_mon/c_km_dzien*G48,(1+0.1*MAX(0,800-e_km_mon)/100)*e_km_mon*G48/500)))</f>
        <v>0.7</v>
      </c>
      <c r="I49" s="34" t="n">
        <f aca="false">(e_podr_pom+I40*(e_rozl_dni+IF(in_wzor="Uproszczony",2*e_km_mon/c_km_dzien*I48,(1+0.1*MAX(0,800-e_km_mon)/100)*e_km_mon*I48/500)))</f>
        <v>0.35</v>
      </c>
      <c r="J49" s="34" t="n">
        <f aca="false">(e_podr_pom+J40*(e_rozl_dni+IF(in_wzor="Uproszczony",2*e_km_mon/c_km_dzien*J48,(1+0.1*MAX(0,800-e_km_mon)/100)*e_km_mon*J48/500)))</f>
        <v>0.525</v>
      </c>
      <c r="K49" s="34" t="n">
        <f aca="false">(e_podr_pom+K40*(e_rozl_dni+IF(in_wzor="Uproszczony",2*e_km_mon/c_km_dzien*K48,(1+0.1*MAX(0,800-e_km_mon)/100)*e_km_mon*K48/500)))</f>
        <v>0.7</v>
      </c>
      <c r="L49" s="34" t="n">
        <f aca="false">(e_podr_pom+L40*(e_rozl_dni+IF(in_wzor="Uproszczony",2*e_km_mon/c_km_dzien*L48,(1+0.1*MAX(0,800-e_km_mon)/100)*e_km_mon*L48/500)))</f>
        <v>0.875</v>
      </c>
      <c r="M49" s="34" t="n">
        <f aca="false">(e_podr_pom+M40*(e_rozl_dni+IF(in_wzor="Uproszczony",2*e_km_mon/c_km_dzien*M48,(1+0.1*MAX(0,800-e_km_mon)/100)*e_km_mon*M48/500)))</f>
        <v>1.05</v>
      </c>
      <c r="N49" s="34" t="n">
        <f aca="false">(e_podr_pom+N40*(e_rozl_dni+IF(in_wzor="Uproszczony",2*e_km_mon/c_km_dzien*N48,(1+0.1*MAX(0,800-e_km_mon)/100)*e_km_mon*N48/500)))</f>
        <v>1.225</v>
      </c>
    </row>
    <row r="50" customFormat="false" ht="15" hidden="false" customHeight="false" outlineLevel="0" collapsed="false">
      <c r="B50" s="0" t="s">
        <v>93</v>
      </c>
      <c r="D50" s="34" t="n">
        <f aca="false">D42+D49</f>
        <v>0.7</v>
      </c>
      <c r="E50" s="34" t="n">
        <f aca="false">E42+E49</f>
        <v>0.7</v>
      </c>
      <c r="F50" s="34" t="n">
        <f aca="false">F42+F49</f>
        <v>0.7</v>
      </c>
      <c r="G50" s="34" t="n">
        <f aca="false">G42+G49</f>
        <v>0.7</v>
      </c>
      <c r="I50" s="34" t="n">
        <f aca="false">I42+I49</f>
        <v>0.35</v>
      </c>
      <c r="J50" s="34" t="n">
        <f aca="false">J42+J49</f>
        <v>0.525</v>
      </c>
      <c r="K50" s="34" t="n">
        <f aca="false">K42+K49</f>
        <v>0.7</v>
      </c>
      <c r="L50" s="34" t="n">
        <f aca="false">L42+L49</f>
        <v>0.875</v>
      </c>
      <c r="M50" s="34" t="n">
        <f aca="false">M42+M49</f>
        <v>1.05</v>
      </c>
      <c r="N50" s="34" t="n">
        <f aca="false">N42+N49</f>
        <v>1.225</v>
      </c>
    </row>
    <row r="51" customFormat="false" ht="15" hidden="false" customHeight="false" outlineLevel="0" collapsed="false">
      <c r="B51" s="11" t="s">
        <v>340</v>
      </c>
      <c r="D51" s="38" t="n">
        <f aca="false">CEILING(D50/D40,1)</f>
        <v>1</v>
      </c>
      <c r="E51" s="38" t="n">
        <f aca="false">CEILING(E50/E40,1)</f>
        <v>1</v>
      </c>
      <c r="F51" s="38" t="n">
        <f aca="false">CEILING(F50/F40,1)</f>
        <v>1</v>
      </c>
      <c r="G51" s="38" t="n">
        <f aca="false">CEILING(G50/G40,1)</f>
        <v>1</v>
      </c>
      <c r="I51" s="38" t="n">
        <f aca="false">CEILING(I50/I40,1)</f>
        <v>1</v>
      </c>
      <c r="J51" s="38" t="n">
        <f aca="false">CEILING(J50/J40,1)</f>
        <v>1</v>
      </c>
      <c r="K51" s="38" t="n">
        <f aca="false">CEILING(K50/K40,1)</f>
        <v>1</v>
      </c>
      <c r="L51" s="38" t="n">
        <f aca="false">CEILING(L50/L40,1)</f>
        <v>1</v>
      </c>
      <c r="M51" s="38" t="n">
        <f aca="false">CEILING(M50/M40,1)</f>
        <v>1</v>
      </c>
      <c r="N51" s="38" t="n">
        <f aca="false">CEILING(N50/N40,1)</f>
        <v>1</v>
      </c>
    </row>
    <row r="52" customFormat="false" ht="15" hidden="false" customHeight="false" outlineLevel="0" collapsed="false">
      <c r="B52" s="0" t="s">
        <v>341</v>
      </c>
      <c r="D52" s="34" t="n">
        <f aca="false">2*(e_km_mon*D48+2*e_km_pom)</f>
        <v>100</v>
      </c>
      <c r="E52" s="34" t="n">
        <f aca="false">2*(e_km_mon*E48+2*e_km_pom)</f>
        <v>100</v>
      </c>
      <c r="F52" s="34" t="n">
        <f aca="false">2*(e_km_mon*F48+2*e_km_pom)</f>
        <v>100</v>
      </c>
      <c r="G52" s="34" t="n">
        <f aca="false">2*(e_km_mon*G48+2*e_km_pom)</f>
        <v>100</v>
      </c>
      <c r="I52" s="34" t="n">
        <f aca="false">2*(e_km_mon*I48+2*e_km_pom)</f>
        <v>100</v>
      </c>
      <c r="J52" s="34" t="n">
        <f aca="false">2*(e_km_mon*J48+2*e_km_pom)</f>
        <v>100</v>
      </c>
      <c r="K52" s="34" t="n">
        <f aca="false">2*(e_km_mon*K48+2*e_km_pom)</f>
        <v>100</v>
      </c>
      <c r="L52" s="34" t="n">
        <f aca="false">2*(e_km_mon*L48+2*e_km_pom)</f>
        <v>100</v>
      </c>
      <c r="M52" s="34" t="n">
        <f aca="false">2*(e_km_mon*M48+2*e_km_pom)</f>
        <v>100</v>
      </c>
      <c r="N52" s="34" t="n">
        <f aca="false">2*(e_km_mon*N48+2*e_km_pom)</f>
        <v>100</v>
      </c>
    </row>
    <row r="53" customFormat="false" ht="15" hidden="false" customHeight="false" outlineLevel="0" collapsed="false">
      <c r="B53" s="0" t="s">
        <v>85</v>
      </c>
      <c r="D53" s="31" t="n">
        <f aca="false">IF(D38=1,m_suma_2500,m_suma_2000)</f>
        <v>0</v>
      </c>
      <c r="E53" s="31" t="n">
        <f aca="false">IF(E38=1,m_suma_2500,m_suma_2000)</f>
        <v>0</v>
      </c>
      <c r="F53" s="31" t="n">
        <f aca="false">IF(F38=1,m_suma_2500,m_suma_2000)</f>
        <v>0</v>
      </c>
      <c r="G53" s="31" t="n">
        <f aca="false">IF(G38=1,m_suma_2500,m_suma_2000)</f>
        <v>0</v>
      </c>
      <c r="I53" s="31" t="n">
        <f aca="false">IF(I38=1,m_suma_2500,m_suma_2000)</f>
        <v>0</v>
      </c>
      <c r="J53" s="31" t="n">
        <f aca="false">IF(J38=1,m_suma_2500,m_suma_2000)</f>
        <v>0</v>
      </c>
      <c r="K53" s="31" t="n">
        <f aca="false">IF(K38=1,m_suma_2500,m_suma_2000)</f>
        <v>0</v>
      </c>
      <c r="L53" s="31" t="n">
        <f aca="false">IF(L38=1,m_suma_2500,m_suma_2000)</f>
        <v>0</v>
      </c>
      <c r="M53" s="31" t="n">
        <f aca="false">IF(M38=1,m_suma_2500,m_suma_2000)</f>
        <v>0</v>
      </c>
      <c r="N53" s="31" t="n">
        <f aca="false">IF(N38=1,m_suma_2500,m_suma_2000)</f>
        <v>0</v>
      </c>
    </row>
    <row r="54" customFormat="false" ht="15" hidden="false" customHeight="false" outlineLevel="0" collapsed="false">
      <c r="B54" s="0" t="s">
        <v>86</v>
      </c>
      <c r="D54" s="31" t="n">
        <f aca="false">D39*c_slupek*m_MP</f>
        <v>0</v>
      </c>
      <c r="E54" s="31" t="n">
        <f aca="false">E39*c_slupek*m_MP</f>
        <v>0</v>
      </c>
      <c r="F54" s="31" t="n">
        <f aca="false">F39*c_slupek*m_MP</f>
        <v>0</v>
      </c>
      <c r="G54" s="31" t="n">
        <f aca="false">G39*c_slupek*m_MP</f>
        <v>0</v>
      </c>
      <c r="I54" s="31" t="n">
        <f aca="false">I39*c_slupek*m_MP</f>
        <v>0</v>
      </c>
      <c r="J54" s="31" t="n">
        <f aca="false">J39*c_slupek*m_MP</f>
        <v>0</v>
      </c>
      <c r="K54" s="31" t="n">
        <f aca="false">K39*c_slupek*m_MP</f>
        <v>0</v>
      </c>
      <c r="L54" s="31" t="n">
        <f aca="false">L39*c_slupek*m_MP</f>
        <v>0</v>
      </c>
      <c r="M54" s="31" t="n">
        <f aca="false">M39*c_slupek*m_MP</f>
        <v>0</v>
      </c>
      <c r="N54" s="31" t="n">
        <f aca="false">N39*c_slupek*m_MP</f>
        <v>0</v>
      </c>
    </row>
    <row r="55" customFormat="false" ht="15" hidden="false" customHeight="false" outlineLevel="0" collapsed="false">
      <c r="B55" s="0" t="s">
        <v>342</v>
      </c>
      <c r="D55" s="31" t="n">
        <f aca="false">D52/100*ROUNDUP(c_spalanie*c_paliwo,0)</f>
        <v>113</v>
      </c>
      <c r="E55" s="31" t="n">
        <f aca="false">E52/100*ROUNDUP(c_spalanie*c_paliwo,0)</f>
        <v>113</v>
      </c>
      <c r="F55" s="31" t="n">
        <f aca="false">F52/100*ROUNDUP(c_spalanie*c_paliwo,0)</f>
        <v>113</v>
      </c>
      <c r="G55" s="31" t="n">
        <f aca="false">G52/100*ROUNDUP(c_spalanie*c_paliwo,0)</f>
        <v>113</v>
      </c>
      <c r="I55" s="31" t="n">
        <f aca="false">I52/100*ROUNDUP(c_spalanie*c_paliwo,0)</f>
        <v>113</v>
      </c>
      <c r="J55" s="31" t="n">
        <f aca="false">J52/100*ROUNDUP(c_spalanie*c_paliwo,0)</f>
        <v>113</v>
      </c>
      <c r="K55" s="31" t="n">
        <f aca="false">K52/100*ROUNDUP(c_spalanie*c_paliwo,0)</f>
        <v>113</v>
      </c>
      <c r="L55" s="31" t="n">
        <f aca="false">L52/100*ROUNDUP(c_spalanie*c_paliwo,0)</f>
        <v>113</v>
      </c>
      <c r="M55" s="31" t="n">
        <f aca="false">M52/100*ROUNDUP(c_spalanie*c_paliwo,0)</f>
        <v>113</v>
      </c>
      <c r="N55" s="31" t="n">
        <f aca="false">N52/100*ROUNDUP(c_spalanie*c_paliwo,0)</f>
        <v>113</v>
      </c>
    </row>
    <row r="56" customFormat="false" ht="15" hidden="false" customHeight="false" outlineLevel="0" collapsed="false">
      <c r="B56" s="0" t="s">
        <v>343</v>
      </c>
      <c r="D56" s="31" t="n">
        <f aca="false">IF(e_krk,0,c_hotel*(D51+1)*D40)</f>
        <v>1040</v>
      </c>
      <c r="E56" s="31" t="n">
        <f aca="false">IF(e_krk,0,c_hotel*(E51+1)*E40)</f>
        <v>1040</v>
      </c>
      <c r="F56" s="31" t="n">
        <f aca="false">IF(e_krk,0,c_hotel*(F51+1)*F40)</f>
        <v>1040</v>
      </c>
      <c r="G56" s="31" t="n">
        <f aca="false">IF(e_krk,0,c_hotel*(G51+1)*G40)</f>
        <v>1040</v>
      </c>
      <c r="I56" s="31" t="n">
        <f aca="false">IF(e_krk,0,c_hotel*(I51+1)*I40)</f>
        <v>520</v>
      </c>
      <c r="J56" s="31" t="n">
        <f aca="false">IF(e_krk,0,c_hotel*(J51+1)*J40)</f>
        <v>780</v>
      </c>
      <c r="K56" s="31" t="n">
        <f aca="false">IF(e_krk,0,c_hotel*(K51+1)*K40)</f>
        <v>1040</v>
      </c>
      <c r="L56" s="31" t="n">
        <f aca="false">IF(e_krk,0,c_hotel*(L51+1)*L40)</f>
        <v>1300</v>
      </c>
      <c r="M56" s="31" t="n">
        <f aca="false">IF(e_krk,0,c_hotel*(M51+1)*M40)</f>
        <v>1560</v>
      </c>
      <c r="N56" s="31" t="n">
        <f aca="false">IF(e_krk,0,c_hotel*(N51+1)*N40)</f>
        <v>1820</v>
      </c>
    </row>
    <row r="57" customFormat="false" ht="15" hidden="false" customHeight="false" outlineLevel="0" collapsed="false">
      <c r="B57" s="0" t="s">
        <v>344</v>
      </c>
      <c r="D57" s="31" t="n">
        <f aca="false">in_tir_cena*in_tir</f>
        <v>0</v>
      </c>
      <c r="E57" s="31" t="n">
        <f aca="false">in_tir_cena*in_tir</f>
        <v>0</v>
      </c>
      <c r="F57" s="31" t="n">
        <f aca="false">in_tir_cena*in_tir</f>
        <v>0</v>
      </c>
      <c r="G57" s="31" t="n">
        <f aca="false">in_tir_cena*in_tir</f>
        <v>0</v>
      </c>
      <c r="I57" s="31" t="n">
        <f aca="false">in_tir_cena*in_tir</f>
        <v>0</v>
      </c>
      <c r="J57" s="31" t="n">
        <f aca="false">in_tir_cena*in_tir</f>
        <v>0</v>
      </c>
      <c r="K57" s="31" t="n">
        <f aca="false">in_tir_cena*in_tir</f>
        <v>0</v>
      </c>
      <c r="L57" s="31" t="n">
        <f aca="false">in_tir_cena*in_tir</f>
        <v>0</v>
      </c>
      <c r="M57" s="31" t="n">
        <f aca="false">in_tir_cena*in_tir</f>
        <v>0</v>
      </c>
      <c r="N57" s="31" t="n">
        <f aca="false">in_tir_cena*in_tir</f>
        <v>0</v>
      </c>
    </row>
    <row r="58" customFormat="false" ht="15" hidden="false" customHeight="false" outlineLevel="0" collapsed="false">
      <c r="B58" s="0" t="s">
        <v>345</v>
      </c>
      <c r="D58" s="31" t="n">
        <f aca="false">c_dzwig*e_dzw_dni</f>
        <v>0</v>
      </c>
      <c r="E58" s="31" t="n">
        <f aca="false">c_dzwig*e_dzw_dni</f>
        <v>0</v>
      </c>
      <c r="F58" s="31" t="n">
        <f aca="false">c_dzwig*e_dzw_dni</f>
        <v>0</v>
      </c>
      <c r="G58" s="31" t="n">
        <f aca="false">c_dzwig*e_dzw_dni</f>
        <v>0</v>
      </c>
      <c r="I58" s="31" t="n">
        <f aca="false">c_dzwig*e_dzw_dni</f>
        <v>0</v>
      </c>
      <c r="J58" s="31" t="n">
        <f aca="false">c_dzwig*e_dzw_dni</f>
        <v>0</v>
      </c>
      <c r="K58" s="31" t="n">
        <f aca="false">c_dzwig*e_dzw_dni</f>
        <v>0</v>
      </c>
      <c r="L58" s="31" t="n">
        <f aca="false">c_dzwig*e_dzw_dni</f>
        <v>0</v>
      </c>
      <c r="M58" s="31" t="n">
        <f aca="false">c_dzwig*e_dzw_dni</f>
        <v>0</v>
      </c>
      <c r="N58" s="31" t="n">
        <f aca="false">c_dzwig*e_dzw_dni</f>
        <v>0</v>
      </c>
    </row>
    <row r="59" customFormat="false" ht="15" hidden="false" customHeight="false" outlineLevel="0" collapsed="false">
      <c r="B59" s="0" t="s">
        <v>346</v>
      </c>
      <c r="D59" s="31" t="n">
        <f aca="false">in_rozl_cena*in_tir</f>
        <v>0</v>
      </c>
      <c r="E59" s="31" t="n">
        <f aca="false">in_rozl_cena*in_tir</f>
        <v>0</v>
      </c>
      <c r="F59" s="31" t="n">
        <f aca="false">in_rozl_cena*in_tir</f>
        <v>0</v>
      </c>
      <c r="G59" s="31" t="n">
        <f aca="false">in_rozl_cena*in_tir</f>
        <v>0</v>
      </c>
      <c r="I59" s="31" t="n">
        <f aca="false">in_rozl_cena*in_tir</f>
        <v>0</v>
      </c>
      <c r="J59" s="31" t="n">
        <f aca="false">in_rozl_cena*in_tir</f>
        <v>0</v>
      </c>
      <c r="K59" s="31" t="n">
        <f aca="false">in_rozl_cena*in_tir</f>
        <v>0</v>
      </c>
      <c r="L59" s="31" t="n">
        <f aca="false">in_rozl_cena*in_tir</f>
        <v>0</v>
      </c>
      <c r="M59" s="31" t="n">
        <f aca="false">in_rozl_cena*in_tir</f>
        <v>0</v>
      </c>
      <c r="N59" s="31" t="n">
        <f aca="false">in_rozl_cena*in_tir</f>
        <v>0</v>
      </c>
    </row>
    <row r="60" customFormat="false" ht="15" hidden="false" customHeight="false" outlineLevel="0" collapsed="false">
      <c r="B60" s="0" t="s">
        <v>347</v>
      </c>
      <c r="D60" s="31" t="n">
        <f aca="false">D41*e_rozl_dni*D40</f>
        <v>0</v>
      </c>
      <c r="E60" s="31" t="n">
        <f aca="false">E41*e_rozl_dni*E40</f>
        <v>0</v>
      </c>
      <c r="F60" s="31" t="n">
        <f aca="false">F41*e_rozl_dni*F40</f>
        <v>0</v>
      </c>
      <c r="G60" s="31" t="n">
        <f aca="false">G41*e_rozl_dni*G40</f>
        <v>0</v>
      </c>
      <c r="I60" s="31" t="n">
        <f aca="false">I41*e_rozl_dni*I40</f>
        <v>0</v>
      </c>
      <c r="J60" s="31" t="n">
        <f aca="false">J41*e_rozl_dni*J40</f>
        <v>0</v>
      </c>
      <c r="K60" s="31" t="n">
        <f aca="false">K41*e_rozl_dni*K40</f>
        <v>0</v>
      </c>
      <c r="L60" s="31" t="n">
        <f aca="false">L41*e_rozl_dni*L40</f>
        <v>0</v>
      </c>
      <c r="M60" s="31" t="n">
        <f aca="false">M41*e_rozl_dni*M40</f>
        <v>0</v>
      </c>
      <c r="N60" s="31" t="n">
        <f aca="false">N41*e_rozl_dni*N40</f>
        <v>0</v>
      </c>
    </row>
    <row r="61" customFormat="false" ht="15" hidden="false" customHeight="false" outlineLevel="0" collapsed="false">
      <c r="B61" s="0" t="s">
        <v>348</v>
      </c>
      <c r="D61" s="31" t="n">
        <f aca="false">D41*(D49-D40*e_rozl_dni)</f>
        <v>280</v>
      </c>
      <c r="E61" s="31" t="n">
        <f aca="false">E41*(E49-E40*e_rozl_dni)</f>
        <v>280</v>
      </c>
      <c r="F61" s="31" t="n">
        <f aca="false">F41*(F49-F40*e_rozl_dni)</f>
        <v>280</v>
      </c>
      <c r="G61" s="31" t="n">
        <f aca="false">G41*(G49-G40*e_rozl_dni)</f>
        <v>280</v>
      </c>
      <c r="I61" s="31" t="n">
        <f aca="false">I41*(I49-I40*e_rozl_dni)</f>
        <v>157.5</v>
      </c>
      <c r="J61" s="31" t="n">
        <f aca="false">J41*(J49-J40*e_rozl_dni)</f>
        <v>218.75</v>
      </c>
      <c r="K61" s="31" t="n">
        <f aca="false">K41*(K49-K40*e_rozl_dni)</f>
        <v>280</v>
      </c>
      <c r="L61" s="31" t="n">
        <f aca="false">L41*(L49-L40*e_rozl_dni)</f>
        <v>341.25</v>
      </c>
      <c r="M61" s="31" t="n">
        <f aca="false">M41*(M49-M40*e_rozl_dni)</f>
        <v>402.5</v>
      </c>
      <c r="N61" s="31" t="n">
        <f aca="false">N41*(N49-N40*e_rozl_dni)</f>
        <v>463.75</v>
      </c>
    </row>
    <row r="62" customFormat="false" ht="15" hidden="false" customHeight="false" outlineLevel="0" collapsed="false">
      <c r="B62" s="0" t="s">
        <v>349</v>
      </c>
      <c r="D62" s="31" t="n">
        <f aca="false">IF(D48&gt;0,D41*D42,0)</f>
        <v>0</v>
      </c>
      <c r="E62" s="31" t="n">
        <f aca="false">IF(E48&gt;0,E41*E42,0)</f>
        <v>0</v>
      </c>
      <c r="F62" s="31" t="n">
        <f aca="false">IF(F48&gt;0,F41*F42,0)</f>
        <v>0</v>
      </c>
      <c r="G62" s="31" t="n">
        <f aca="false">IF(G48&gt;0,G41*G42,0)</f>
        <v>0</v>
      </c>
      <c r="I62" s="31" t="n">
        <f aca="false">IF(I48&gt;0,I41*I42,0)</f>
        <v>0</v>
      </c>
      <c r="J62" s="31" t="n">
        <f aca="false">IF(J48&gt;0,J41*J42,0)</f>
        <v>0</v>
      </c>
      <c r="K62" s="31" t="n">
        <f aca="false">IF(K48&gt;0,K41*K42,0)</f>
        <v>0</v>
      </c>
      <c r="L62" s="31" t="n">
        <f aca="false">IF(L48&gt;0,L41*L42,0)</f>
        <v>0</v>
      </c>
      <c r="M62" s="31" t="n">
        <f aca="false">IF(M48&gt;0,M41*M42,0)</f>
        <v>0</v>
      </c>
      <c r="N62" s="31" t="n">
        <f aca="false">IF(N48&gt;0,N41*N42,0)</f>
        <v>0</v>
      </c>
    </row>
    <row r="63" customFormat="false" ht="15" hidden="false" customHeight="false" outlineLevel="0" collapsed="false">
      <c r="B63" s="0" t="s">
        <v>350</v>
      </c>
      <c r="D63" s="31" t="n">
        <f aca="false">IF(e_krk,0,c_dieta*D50)</f>
        <v>31.5</v>
      </c>
      <c r="E63" s="31" t="n">
        <f aca="false">IF(e_krk,0,c_dieta*E50)</f>
        <v>31.5</v>
      </c>
      <c r="F63" s="31" t="n">
        <f aca="false">IF(e_krk,0,c_dieta*F50)</f>
        <v>31.5</v>
      </c>
      <c r="G63" s="31" t="n">
        <f aca="false">IF(e_krk,0,c_dieta*G50)</f>
        <v>31.5</v>
      </c>
      <c r="I63" s="31" t="n">
        <f aca="false">IF(e_krk,0,c_dieta*I50)</f>
        <v>15.75</v>
      </c>
      <c r="J63" s="31" t="n">
        <f aca="false">IF(e_krk,0,c_dieta*J50)</f>
        <v>23.625</v>
      </c>
      <c r="K63" s="31" t="n">
        <f aca="false">IF(e_krk,0,c_dieta*K50)</f>
        <v>31.5</v>
      </c>
      <c r="L63" s="31" t="n">
        <f aca="false">IF(e_krk,0,c_dieta*L50)</f>
        <v>39.375</v>
      </c>
      <c r="M63" s="31" t="n">
        <f aca="false">IF(e_krk,0,c_dieta*M50)</f>
        <v>47.25</v>
      </c>
      <c r="N63" s="31" t="n">
        <f aca="false">IF(e_krk,0,c_dieta*N50)</f>
        <v>55.125</v>
      </c>
    </row>
    <row r="64" customFormat="false" ht="15" hidden="false" customHeight="false" outlineLevel="0" collapsed="false">
      <c r="B64" s="11" t="s">
        <v>351</v>
      </c>
      <c r="D64" s="33" t="n">
        <f aca="false">SUM(D53:D63)</f>
        <v>1464.5</v>
      </c>
      <c r="E64" s="33" t="n">
        <f aca="false">SUM(E53:E63)</f>
        <v>1464.5</v>
      </c>
      <c r="F64" s="33" t="n">
        <f aca="false">SUM(F53:F63)</f>
        <v>1464.5</v>
      </c>
      <c r="G64" s="33" t="n">
        <f aca="false">SUM(G53:G63)</f>
        <v>1464.5</v>
      </c>
      <c r="I64" s="33" t="n">
        <f aca="false">SUM(I53:I63)</f>
        <v>806.25</v>
      </c>
      <c r="J64" s="33" t="n">
        <f aca="false">SUM(J53:J63)</f>
        <v>1135.375</v>
      </c>
      <c r="K64" s="33" t="n">
        <f aca="false">SUM(K53:K63)</f>
        <v>1464.5</v>
      </c>
      <c r="L64" s="33" t="n">
        <f aca="false">SUM(L53:L63)</f>
        <v>1793.625</v>
      </c>
      <c r="M64" s="33" t="n">
        <f aca="false">SUM(M53:M63)</f>
        <v>2122.75</v>
      </c>
      <c r="N64" s="33" t="n">
        <f aca="false">SUM(N53:N63)</f>
        <v>2451.875</v>
      </c>
    </row>
    <row r="65" customFormat="false" ht="15" hidden="false" customHeight="false" outlineLevel="0" collapsed="false">
      <c r="B65" s="0" t="s">
        <v>352</v>
      </c>
      <c r="D65" s="31" t="n">
        <f aca="false">D64/(1-(c_kob+c_gdw+in_zysk))</f>
        <v>1733.13609467456</v>
      </c>
      <c r="E65" s="31" t="n">
        <f aca="false">E64/(1-(c_kob+c_gdw+in_zysk))</f>
        <v>1733.13609467456</v>
      </c>
      <c r="F65" s="31" t="n">
        <f aca="false">F64/(1-(c_kob+c_gdw+in_zysk))</f>
        <v>1733.13609467456</v>
      </c>
      <c r="G65" s="31" t="n">
        <f aca="false">G64/(1-(c_kob+c_gdw+in_zysk))</f>
        <v>1733.13609467456</v>
      </c>
      <c r="I65" s="31" t="n">
        <f aca="false">I64/(1-(c_kob+c_gdw+in_zysk))</f>
        <v>954.14201183432</v>
      </c>
      <c r="J65" s="31" t="n">
        <f aca="false">J64/(1-(c_kob+c_gdw+in_zysk))</f>
        <v>1343.63905325444</v>
      </c>
      <c r="K65" s="31" t="n">
        <f aca="false">K64/(1-(c_kob+c_gdw+in_zysk))</f>
        <v>1733.13609467456</v>
      </c>
      <c r="L65" s="31" t="n">
        <f aca="false">L64/(1-(c_kob+c_gdw+in_zysk))</f>
        <v>2122.63313609467</v>
      </c>
      <c r="M65" s="31" t="n">
        <f aca="false">M64/(1-(c_kob+c_gdw+in_zysk))</f>
        <v>2512.13017751479</v>
      </c>
      <c r="N65" s="31" t="n">
        <f aca="false">N64/(1-(c_kob+c_gdw+in_zysk))</f>
        <v>2901.62721893491</v>
      </c>
    </row>
    <row r="66" customFormat="false" ht="15" hidden="false" customHeight="false" outlineLevel="0" collapsed="false">
      <c r="B66" s="0" t="s">
        <v>353</v>
      </c>
      <c r="D66" s="31" t="n">
        <f aca="false">D65*c_kob</f>
        <v>8.66568047337278</v>
      </c>
      <c r="E66" s="31" t="n">
        <f aca="false">E65*c_kob</f>
        <v>8.66568047337278</v>
      </c>
      <c r="F66" s="31" t="n">
        <f aca="false">F65*c_kob</f>
        <v>8.66568047337278</v>
      </c>
      <c r="G66" s="31" t="n">
        <f aca="false">G65*c_kob</f>
        <v>8.66568047337278</v>
      </c>
      <c r="I66" s="31" t="n">
        <f aca="false">I65*c_kob</f>
        <v>4.7707100591716</v>
      </c>
      <c r="J66" s="31" t="n">
        <f aca="false">J65*c_kob</f>
        <v>6.71819526627219</v>
      </c>
      <c r="K66" s="31" t="n">
        <f aca="false">K65*c_kob</f>
        <v>8.66568047337278</v>
      </c>
      <c r="L66" s="31" t="n">
        <f aca="false">L65*c_kob</f>
        <v>10.6131656804734</v>
      </c>
      <c r="M66" s="31" t="n">
        <f aca="false">M65*c_kob</f>
        <v>12.560650887574</v>
      </c>
      <c r="N66" s="31" t="n">
        <f aca="false">N65*c_kob</f>
        <v>14.5081360946746</v>
      </c>
    </row>
    <row r="67" customFormat="false" ht="15" hidden="false" customHeight="false" outlineLevel="0" collapsed="false">
      <c r="B67" s="0" t="s">
        <v>354</v>
      </c>
      <c r="D67" s="31" t="n">
        <f aca="false">D65*c_gdw</f>
        <v>43.3284023668639</v>
      </c>
      <c r="E67" s="31" t="n">
        <f aca="false">E65*c_gdw</f>
        <v>43.3284023668639</v>
      </c>
      <c r="F67" s="31" t="n">
        <f aca="false">F65*c_gdw</f>
        <v>43.3284023668639</v>
      </c>
      <c r="G67" s="31" t="n">
        <f aca="false">G65*c_gdw</f>
        <v>43.3284023668639</v>
      </c>
      <c r="I67" s="31" t="n">
        <f aca="false">I65*c_gdw</f>
        <v>23.853550295858</v>
      </c>
      <c r="J67" s="31" t="n">
        <f aca="false">J65*c_gdw</f>
        <v>33.590976331361</v>
      </c>
      <c r="K67" s="31" t="n">
        <f aca="false">K65*c_gdw</f>
        <v>43.3284023668639</v>
      </c>
      <c r="L67" s="31" t="n">
        <f aca="false">L65*c_gdw</f>
        <v>53.0658284023669</v>
      </c>
      <c r="M67" s="31" t="n">
        <f aca="false">M65*c_gdw</f>
        <v>62.8032544378698</v>
      </c>
      <c r="N67" s="31" t="n">
        <f aca="false">N65*c_gdw</f>
        <v>72.5406804733728</v>
      </c>
    </row>
    <row r="68" customFormat="false" ht="15" hidden="false" customHeight="false" outlineLevel="0" collapsed="false">
      <c r="B68" s="0" t="s">
        <v>83</v>
      </c>
      <c r="D68" s="31" t="n">
        <f aca="false">D65*in_zysk</f>
        <v>216.64201183432</v>
      </c>
      <c r="E68" s="31" t="n">
        <f aca="false">E65*in_zysk</f>
        <v>216.64201183432</v>
      </c>
      <c r="F68" s="31" t="n">
        <f aca="false">F65*in_zysk</f>
        <v>216.64201183432</v>
      </c>
      <c r="G68" s="31" t="n">
        <f aca="false">G65*in_zysk</f>
        <v>216.64201183432</v>
      </c>
      <c r="I68" s="31" t="n">
        <f aca="false">I65*in_zysk</f>
        <v>119.26775147929</v>
      </c>
      <c r="J68" s="31" t="n">
        <f aca="false">J65*in_zysk</f>
        <v>167.954881656805</v>
      </c>
      <c r="K68" s="31" t="n">
        <f aca="false">K65*in_zysk</f>
        <v>216.64201183432</v>
      </c>
      <c r="L68" s="31" t="n">
        <f aca="false">L65*in_zysk</f>
        <v>265.329142011834</v>
      </c>
      <c r="M68" s="31" t="n">
        <f aca="false">M65*in_zysk</f>
        <v>314.016272189349</v>
      </c>
      <c r="N68" s="31" t="n">
        <f aca="false">N65*in_zysk</f>
        <v>362.703402366864</v>
      </c>
    </row>
    <row r="69" customFormat="false" ht="15" hidden="false" customHeight="false" outlineLevel="0" collapsed="false">
      <c r="B69" s="0" t="s">
        <v>355</v>
      </c>
      <c r="D69" s="31" t="n">
        <f aca="false">c_podatek*(D60+D61+D62+D63+D67+D68)</f>
        <v>80.0058579881657</v>
      </c>
      <c r="E69" s="31" t="n">
        <f aca="false">c_podatek*(E60+E61+E62+E63+E67+E68)</f>
        <v>80.0058579881657</v>
      </c>
      <c r="F69" s="31" t="n">
        <f aca="false">c_podatek*(F60+F61+F62+F63+F67+F68)</f>
        <v>80.0058579881657</v>
      </c>
      <c r="G69" s="31" t="n">
        <f aca="false">c_podatek*(G60+G61+G62+G63+G67+G68)</f>
        <v>80.0058579881657</v>
      </c>
      <c r="I69" s="31" t="n">
        <f aca="false">c_podatek*(I60+I61+I62+I63+I67+I68)</f>
        <v>44.2919822485207</v>
      </c>
      <c r="J69" s="31" t="n">
        <f aca="false">c_podatek*(J60+J61+J62+J63+J67+J68)</f>
        <v>62.1489201183432</v>
      </c>
      <c r="K69" s="31" t="n">
        <f aca="false">c_podatek*(K60+K61+K62+K63+K67+K68)</f>
        <v>80.0058579881657</v>
      </c>
      <c r="L69" s="31" t="n">
        <f aca="false">c_podatek*(L60+L61+L62+L63+L67+L68)</f>
        <v>97.8627958579882</v>
      </c>
      <c r="M69" s="31" t="n">
        <f aca="false">c_podatek*(M60+M61+M62+M63+M67+M68)</f>
        <v>115.719733727811</v>
      </c>
      <c r="N69" s="31" t="n">
        <f aca="false">c_podatek*(N60+N61+N62+N63+N67+N68)</f>
        <v>133.576671597633</v>
      </c>
    </row>
    <row r="70" customFormat="false" ht="15" hidden="false" customHeight="false" outlineLevel="0" collapsed="false">
      <c r="B70" s="11" t="s">
        <v>356</v>
      </c>
      <c r="D70" s="33" t="n">
        <f aca="false">D65+D69</f>
        <v>1813.14195266272</v>
      </c>
      <c r="E70" s="33" t="n">
        <f aca="false">E65+E69</f>
        <v>1813.14195266272</v>
      </c>
      <c r="F70" s="33" t="n">
        <f aca="false">F65+F69</f>
        <v>1813.14195266272</v>
      </c>
      <c r="G70" s="33" t="n">
        <f aca="false">G65+G69</f>
        <v>1813.14195266272</v>
      </c>
      <c r="I70" s="33" t="n">
        <f aca="false">I65+I69</f>
        <v>998.43399408284</v>
      </c>
      <c r="J70" s="33" t="n">
        <f aca="false">J65+J69</f>
        <v>1405.78797337278</v>
      </c>
      <c r="K70" s="33" t="n">
        <f aca="false">K65+K69</f>
        <v>1813.14195266272</v>
      </c>
      <c r="L70" s="33" t="n">
        <f aca="false">L65+L69</f>
        <v>2220.49593195266</v>
      </c>
      <c r="M70" s="33" t="n">
        <f aca="false">M65+M69</f>
        <v>2627.8499112426</v>
      </c>
      <c r="N70" s="33" t="n">
        <f aca="false">N65+N69</f>
        <v>3035.20389053255</v>
      </c>
    </row>
    <row r="71" customFormat="false" ht="15" hidden="false" customHeight="false" outlineLevel="0" collapsed="false">
      <c r="B71" s="0" t="s">
        <v>357</v>
      </c>
      <c r="D71" s="31" t="n">
        <f aca="false">D70-D68</f>
        <v>1596.4999408284</v>
      </c>
      <c r="E71" s="31" t="n">
        <f aca="false">E70-E68</f>
        <v>1596.4999408284</v>
      </c>
      <c r="F71" s="31" t="n">
        <f aca="false">F70-F68</f>
        <v>1596.4999408284</v>
      </c>
      <c r="G71" s="31" t="n">
        <f aca="false">G70-G68</f>
        <v>1596.4999408284</v>
      </c>
      <c r="I71" s="31" t="n">
        <f aca="false">I70-I68</f>
        <v>879.16624260355</v>
      </c>
      <c r="J71" s="31" t="n">
        <f aca="false">J70-J68</f>
        <v>1237.83309171598</v>
      </c>
      <c r="K71" s="31" t="n">
        <f aca="false">K70-K68</f>
        <v>1596.4999408284</v>
      </c>
      <c r="L71" s="31" t="n">
        <f aca="false">L70-L68</f>
        <v>1955.16678994083</v>
      </c>
      <c r="M71" s="31" t="n">
        <f aca="false">M70-M68</f>
        <v>2313.83363905326</v>
      </c>
      <c r="N71" s="31" t="n">
        <f aca="false">N70-N68</f>
        <v>2672.50048816568</v>
      </c>
    </row>
    <row r="72" customFormat="false" ht="15" hidden="false" customHeight="false" outlineLevel="0" collapsed="false">
      <c r="B72" s="0" t="s">
        <v>108</v>
      </c>
      <c r="D72" s="31" t="n">
        <f aca="false">IF(m_MP&gt;0,D70/m_MP,0)</f>
        <v>0</v>
      </c>
      <c r="E72" s="31" t="n">
        <f aca="false">IF(m_MP&gt;0,E70/m_MP,0)</f>
        <v>0</v>
      </c>
      <c r="F72" s="31" t="n">
        <f aca="false">IF(m_MP&gt;0,F70/m_MP,0)</f>
        <v>0</v>
      </c>
      <c r="G72" s="31" t="n">
        <f aca="false">IF(m_MP&gt;0,G70/m_MP,0)</f>
        <v>0</v>
      </c>
      <c r="I72" s="31" t="n">
        <f aca="false">IF(m_MP&gt;0,I70/m_MP,0)</f>
        <v>0</v>
      </c>
      <c r="J72" s="31" t="n">
        <f aca="false">IF(m_MP&gt;0,J70/m_MP,0)</f>
        <v>0</v>
      </c>
      <c r="K72" s="31" t="n">
        <f aca="false">IF(m_MP&gt;0,K70/m_MP,0)</f>
        <v>0</v>
      </c>
      <c r="L72" s="31" t="n">
        <f aca="false">IF(m_MP&gt;0,L70/m_MP,0)</f>
        <v>0</v>
      </c>
      <c r="M72" s="31" t="n">
        <f aca="false">IF(m_MP&gt;0,M70/m_MP,0)</f>
        <v>0</v>
      </c>
      <c r="N72" s="31" t="n">
        <f aca="false">IF(m_MP&gt;0,N70/m_MP,0)</f>
        <v>0</v>
      </c>
    </row>
    <row r="73" customFormat="false" ht="15" hidden="false" customHeight="false" outlineLevel="0" collapsed="false">
      <c r="B73" s="0" t="s">
        <v>81</v>
      </c>
      <c r="D73" s="39" t="n">
        <f aca="false">D72/in_eur</f>
        <v>0</v>
      </c>
      <c r="E73" s="39" t="n">
        <f aca="false">E72/in_eur</f>
        <v>0</v>
      </c>
      <c r="F73" s="39" t="n">
        <f aca="false">F72/in_eur</f>
        <v>0</v>
      </c>
      <c r="G73" s="39" t="n">
        <f aca="false">G72/in_eur</f>
        <v>0</v>
      </c>
      <c r="I73" s="39" t="n">
        <f aca="false">I72/in_eur</f>
        <v>0</v>
      </c>
      <c r="J73" s="39" t="n">
        <f aca="false">J72/in_eur</f>
        <v>0</v>
      </c>
      <c r="K73" s="39" t="n">
        <f aca="false">K72/in_eur</f>
        <v>0</v>
      </c>
      <c r="L73" s="39" t="n">
        <f aca="false">L72/in_eur</f>
        <v>0</v>
      </c>
      <c r="M73" s="39" t="n">
        <f aca="false">M72/in_eur</f>
        <v>0</v>
      </c>
      <c r="N73" s="39" t="n">
        <f aca="false">N72/in_eur</f>
        <v>0</v>
      </c>
    </row>
    <row r="74" customFormat="false" ht="15" hidden="false" customHeight="false" outlineLevel="0" collapsed="false">
      <c r="B74" s="0" t="s">
        <v>358</v>
      </c>
      <c r="D74" s="31" t="n">
        <f aca="false">(D64-D58+c_dzwig_alt*e_dzw_dni)/(1-(c_kob+c_gdw+in_zysk_min))</f>
        <v>1683.33333333333</v>
      </c>
      <c r="E74" s="31" t="n">
        <f aca="false">(E64-E58+c_dzwig_alt*e_dzw_dni)/(1-(c_kob+c_gdw+in_zysk_min))</f>
        <v>1683.33333333333</v>
      </c>
      <c r="F74" s="31" t="n">
        <f aca="false">(F64-F58+c_dzwig_alt*e_dzw_dni)/(1-(c_kob+c_gdw+in_zysk_min))</f>
        <v>1683.33333333333</v>
      </c>
      <c r="G74" s="31" t="n">
        <f aca="false">(G64-G58+c_dzwig_alt*e_dzw_dni)/(1-(c_kob+c_gdw+in_zysk_min))</f>
        <v>1683.33333333333</v>
      </c>
      <c r="I74" s="31" t="n">
        <f aca="false">(I64-I58+c_dzwig_alt*e_dzw_dni)/(1-(c_kob+c_gdw+in_zysk_min))</f>
        <v>926.724137931035</v>
      </c>
      <c r="J74" s="31" t="n">
        <f aca="false">(J64-J58+c_dzwig_alt*e_dzw_dni)/(1-(c_kob+c_gdw+in_zysk_min))</f>
        <v>1305.02873563218</v>
      </c>
      <c r="K74" s="31" t="n">
        <f aca="false">(K64-K58+c_dzwig_alt*e_dzw_dni)/(1-(c_kob+c_gdw+in_zysk_min))</f>
        <v>1683.33333333333</v>
      </c>
      <c r="L74" s="31" t="n">
        <f aca="false">(L64-L58+c_dzwig_alt*e_dzw_dni)/(1-(c_kob+c_gdw+in_zysk_min))</f>
        <v>2061.63793103448</v>
      </c>
      <c r="M74" s="31" t="n">
        <f aca="false">(M64-M58+c_dzwig_alt*e_dzw_dni)/(1-(c_kob+c_gdw+in_zysk_min))</f>
        <v>2439.94252873563</v>
      </c>
      <c r="N74" s="31" t="n">
        <f aca="false">(N64-N58+c_dzwig_alt*e_dzw_dni)/(1-(c_kob+c_gdw+in_zysk_min))</f>
        <v>2818.24712643678</v>
      </c>
    </row>
    <row r="75" customFormat="false" ht="15" hidden="false" customHeight="false" outlineLevel="0" collapsed="false">
      <c r="B75" s="11" t="s">
        <v>359</v>
      </c>
      <c r="D75" s="33" t="n">
        <f aca="false">D74+c_podatek*(D60+D61+D62+D63+D74*(c_gdw+in_zysk_min))</f>
        <v>1756.40166666667</v>
      </c>
      <c r="E75" s="33" t="n">
        <f aca="false">E74+c_podatek*(E60+E61+E62+E63+E74*(c_gdw+in_zysk_min))</f>
        <v>1756.40166666667</v>
      </c>
      <c r="F75" s="33" t="n">
        <f aca="false">F74+c_podatek*(F60+F61+F62+F63+F74*(c_gdw+in_zysk_min))</f>
        <v>1756.40166666667</v>
      </c>
      <c r="G75" s="33" t="n">
        <f aca="false">G74+c_podatek*(G60+G61+G62+G63+G74*(c_gdw+in_zysk_min))</f>
        <v>1756.40166666667</v>
      </c>
      <c r="I75" s="33" t="n">
        <f aca="false">I74+c_podatek*(I60+I61+I62+I63+I74*(c_gdw+in_zysk_min))</f>
        <v>967.196810344828</v>
      </c>
      <c r="J75" s="33" t="n">
        <f aca="false">J74+c_podatek*(J60+J61+J62+J63+J74*(c_gdw+in_zysk_min))</f>
        <v>1361.79923850575</v>
      </c>
      <c r="K75" s="33" t="n">
        <f aca="false">K74+c_podatek*(K60+K61+K62+K63+K74*(c_gdw+in_zysk_min))</f>
        <v>1756.40166666667</v>
      </c>
      <c r="L75" s="33" t="n">
        <f aca="false">L74+c_podatek*(L60+L61+L62+L63+L74*(c_gdw+in_zysk_min))</f>
        <v>2151.00409482759</v>
      </c>
      <c r="M75" s="33" t="n">
        <f aca="false">M74+c_podatek*(M60+M61+M62+M63+M74*(c_gdw+in_zysk_min))</f>
        <v>2545.60652298851</v>
      </c>
      <c r="N75" s="33" t="n">
        <f aca="false">N74+c_podatek*(N60+N61+N62+N63+N74*(c_gdw+in_zysk_min))</f>
        <v>2940.20895114943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2026-10-19T16:18:39Z</dcterms:created>
  <dc:creator>openpyxl</dc:creator>
  <dc:description/>
  <dc:language>en-US</dc:language>
  <cp:lastModifiedBy/>
  <dcterms:modified xsi:type="dcterms:W3CDTF">2026-10-19T16:18:40Z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